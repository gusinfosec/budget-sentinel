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come (PRO)" sheetId="1" r:id="rId1"/>
    <sheet name="Budget (PRO)" sheetId="2" r:id="rId2"/>
    <sheet name="Monthly Summary (PRO)" sheetId="3" r:id="rId3"/>
    <sheet name="Dashboard (PRO)" sheetId="4" r:id="rId4"/>
  </sheets>
  <calcPr calcId="124519" fullCalcOnLoad="1"/>
</workbook>
</file>

<file path=xl/sharedStrings.xml><?xml version="1.0" encoding="utf-8"?>
<sst xmlns="http://schemas.openxmlformats.org/spreadsheetml/2006/main" count="274" uniqueCount="75">
  <si>
    <t>Date</t>
  </si>
  <si>
    <t>Source</t>
  </si>
  <si>
    <t>Net</t>
  </si>
  <si>
    <t>Pay #</t>
  </si>
  <si>
    <t>Month</t>
  </si>
  <si>
    <t>Reserve</t>
  </si>
  <si>
    <t>Paycheck</t>
  </si>
  <si>
    <t>2025-09</t>
  </si>
  <si>
    <t>2025-10</t>
  </si>
  <si>
    <t>NaT</t>
  </si>
  <si>
    <t>Item</t>
  </si>
  <si>
    <t>Amount</t>
  </si>
  <si>
    <t>Priority</t>
  </si>
  <si>
    <t>Status</t>
  </si>
  <si>
    <t>Paid?</t>
  </si>
  <si>
    <t>IsPaid</t>
  </si>
  <si>
    <t>PaidAmount</t>
  </si>
  <si>
    <t>DueAmount</t>
  </si>
  <si>
    <t>Flight Ticket</t>
  </si>
  <si>
    <t>Affirm</t>
  </si>
  <si>
    <t>Car Payment</t>
  </si>
  <si>
    <t>Fortina</t>
  </si>
  <si>
    <t>Miscellaneous</t>
  </si>
  <si>
    <t>Rent Plan (Back)</t>
  </si>
  <si>
    <t>Alliance</t>
  </si>
  <si>
    <t>Mariner</t>
  </si>
  <si>
    <t>Progressive</t>
  </si>
  <si>
    <t>Sloan</t>
  </si>
  <si>
    <t>October Rent</t>
  </si>
  <si>
    <t>Rent</t>
  </si>
  <si>
    <t>JVT</t>
  </si>
  <si>
    <t>Adjustment</t>
  </si>
  <si>
    <t>Capital One</t>
  </si>
  <si>
    <t>FPL</t>
  </si>
  <si>
    <t>Food</t>
  </si>
  <si>
    <t>Mazda</t>
  </si>
  <si>
    <t>affirm</t>
  </si>
  <si>
    <t>sloan</t>
  </si>
  <si>
    <t>Newera</t>
  </si>
  <si>
    <t>Cable</t>
  </si>
  <si>
    <t>Power</t>
  </si>
  <si>
    <t>Ticket</t>
  </si>
  <si>
    <t>car</t>
  </si>
  <si>
    <t>FC</t>
  </si>
  <si>
    <t>Parking</t>
  </si>
  <si>
    <t>High</t>
  </si>
  <si>
    <t>Low</t>
  </si>
  <si>
    <t>Medium</t>
  </si>
  <si>
    <t>low</t>
  </si>
  <si>
    <t>HIgh</t>
  </si>
  <si>
    <t xml:space="preserve"> </t>
  </si>
  <si>
    <t>Upcoming</t>
  </si>
  <si>
    <t>Due now</t>
  </si>
  <si>
    <t>upcoming</t>
  </si>
  <si>
    <t>no</t>
  </si>
  <si>
    <t>yes</t>
  </si>
  <si>
    <t>nan</t>
  </si>
  <si>
    <t>2025-11</t>
  </si>
  <si>
    <t>Month Label</t>
  </si>
  <si>
    <t>Income</t>
  </si>
  <si>
    <t>Expenses (Paid+Due)</t>
  </si>
  <si>
    <t>Net (Income - All Expenses)</t>
  </si>
  <si>
    <t>Remaining After Paid</t>
  </si>
  <si>
    <t>Sep-2025</t>
  </si>
  <si>
    <t>Oct-2025</t>
  </si>
  <si>
    <t>Nov-2025</t>
  </si>
  <si>
    <t>Budget Dashboard</t>
  </si>
  <si>
    <t>Select Month:</t>
  </si>
  <si>
    <t>(helper) Month Key (yyyy-mm):</t>
  </si>
  <si>
    <t>KPIs</t>
  </si>
  <si>
    <t>Payments Paid (count)</t>
  </si>
  <si>
    <t>Payments Paid (amount)</t>
  </si>
  <si>
    <t>Payments Due (count)</t>
  </si>
  <si>
    <t>Payments Due (amount)</t>
  </si>
  <si>
    <t>Remaining Balance *After Paid*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</si>
</sst>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5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Income vs Expenses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Income</c:v>
          </c:tx>
          <c:cat>
            <c:strRef>
              <c:f>'Monthly Summary (PRO)'!$A$2:$A$4</c:f>
              <c:strCache>
                <c:ptCount val="3"/>
                <c:pt idx="0">
                  <c:v>Sep-2025</c:v>
                </c:pt>
                <c:pt idx="1">
                  <c:v>Oct-2025</c:v>
                </c:pt>
                <c:pt idx="2">
                  <c:v>Nov-2025</c:v>
                </c:pt>
              </c:strCache>
            </c:strRef>
          </c:cat>
          <c:val>
            <c:numRef>
              <c:f>'Monthly Summary (PRO)'!$B$2:$B$4</c:f>
              <c:numCache>
                <c:formatCode>General</c:formatCode>
                <c:ptCount val="3"/>
                <c:pt idx="0">
                  <c:v>4500</c:v>
                </c:pt>
                <c:pt idx="1">
                  <c:v>11400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v>Expenses (Paid+Due)</c:v>
          </c:tx>
          <c:cat>
            <c:strRef>
              <c:f>'Monthly Summary (PRO)'!$A$2:$A$4</c:f>
              <c:strCache>
                <c:ptCount val="3"/>
                <c:pt idx="0">
                  <c:v>Sep-2025</c:v>
                </c:pt>
                <c:pt idx="1">
                  <c:v>Oct-2025</c:v>
                </c:pt>
                <c:pt idx="2">
                  <c:v>Nov-2025</c:v>
                </c:pt>
              </c:strCache>
            </c:strRef>
          </c:cat>
          <c:val>
            <c:numRef>
              <c:f>'Monthly Summary (PRO)'!$E$2:$E$4</c:f>
              <c:numCache>
                <c:formatCode>General</c:formatCode>
                <c:ptCount val="3"/>
                <c:pt idx="0">
                  <c:v>3223.34</c:v>
                </c:pt>
                <c:pt idx="1">
                  <c:v>9849.720000000001</c:v>
                </c:pt>
                <c:pt idx="2">
                  <c:v>2004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Remaining After Paid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Remaining After Paid</c:v>
          </c:tx>
          <c:marker>
            <c:symbol val="none"/>
          </c:marker>
          <c:cat>
            <c:strRef>
              <c:f>'Monthly Summary (PRO)'!$A$2:$A$4</c:f>
              <c:strCache>
                <c:ptCount val="3"/>
                <c:pt idx="0">
                  <c:v>Sep-2025</c:v>
                </c:pt>
                <c:pt idx="1">
                  <c:v>Oct-2025</c:v>
                </c:pt>
                <c:pt idx="2">
                  <c:v>Nov-2025</c:v>
                </c:pt>
              </c:strCache>
            </c:strRef>
          </c:cat>
          <c:val>
            <c:numRef>
              <c:f>'Monthly Summary (PRO)'!$G$2:$G$4</c:f>
              <c:numCache>
                <c:formatCode>General</c:formatCode>
                <c:ptCount val="3"/>
                <c:pt idx="0">
                  <c:v>2651.75</c:v>
                </c:pt>
                <c:pt idx="1">
                  <c:v>4499.24</c:v>
                </c:pt>
                <c:pt idx="2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Amount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14</xdr:col>
      <xdr:colOff>152400</xdr:colOff>
      <xdr:row>20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19</xdr:row>
      <xdr:rowOff>0</xdr:rowOff>
    </xdr:from>
    <xdr:to>
      <xdr:col>14</xdr:col>
      <xdr:colOff>152400</xdr:colOff>
      <xdr:row>37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1"/>
  <sheetViews>
    <sheetView tabSelected="1" workbookViewId="0"/>
  </sheetViews>
  <sheetFormatPr defaultRowHeight="15"/>
  <cols>
    <col min="1" max="2" width="16.7109375" customWidth="1"/>
    <col min="3" max="3" width="14.7109375" style="1" customWidth="1"/>
    <col min="4" max="5" width="16.7109375" customWidth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45922</v>
      </c>
      <c r="B2" t="s">
        <v>5</v>
      </c>
      <c r="C2" s="1">
        <v>700</v>
      </c>
      <c r="D2">
        <v>2</v>
      </c>
      <c r="E2" t="s">
        <v>7</v>
      </c>
    </row>
    <row r="3" spans="1:5">
      <c r="A3" s="3">
        <v>45926</v>
      </c>
      <c r="B3" t="s">
        <v>6</v>
      </c>
      <c r="C3" s="1">
        <v>3800</v>
      </c>
      <c r="D3">
        <v>2</v>
      </c>
      <c r="E3" t="s">
        <v>7</v>
      </c>
    </row>
    <row r="4" spans="1:5">
      <c r="A4" s="3">
        <v>45940</v>
      </c>
      <c r="B4" t="s">
        <v>6</v>
      </c>
      <c r="C4" s="1">
        <v>3800</v>
      </c>
      <c r="D4">
        <v>1</v>
      </c>
      <c r="E4" t="s">
        <v>8</v>
      </c>
    </row>
    <row r="5" spans="1:5">
      <c r="A5" s="3">
        <v>45954</v>
      </c>
      <c r="B5" t="s">
        <v>6</v>
      </c>
      <c r="C5" s="1">
        <v>3800</v>
      </c>
      <c r="D5">
        <v>2</v>
      </c>
      <c r="E5" t="s">
        <v>8</v>
      </c>
    </row>
    <row r="6" spans="1:5">
      <c r="A6" s="3">
        <v>45955</v>
      </c>
      <c r="B6" t="s">
        <v>6</v>
      </c>
      <c r="C6" s="1">
        <v>3800</v>
      </c>
      <c r="D6">
        <v>2</v>
      </c>
      <c r="E6" t="s">
        <v>8</v>
      </c>
    </row>
    <row r="7" spans="1:5">
      <c r="B7" t="s">
        <v>6</v>
      </c>
      <c r="C7" s="1">
        <v>0</v>
      </c>
      <c r="D7">
        <v>2</v>
      </c>
      <c r="E7" t="s">
        <v>9</v>
      </c>
    </row>
    <row r="8" spans="1:5">
      <c r="B8" t="s">
        <v>6</v>
      </c>
      <c r="C8" s="1">
        <v>0</v>
      </c>
      <c r="D8">
        <v>2</v>
      </c>
      <c r="E8" t="s">
        <v>9</v>
      </c>
    </row>
    <row r="9" spans="1:5">
      <c r="B9" t="s">
        <v>6</v>
      </c>
      <c r="C9" s="1">
        <v>0</v>
      </c>
      <c r="D9">
        <v>2</v>
      </c>
      <c r="E9" t="s">
        <v>9</v>
      </c>
    </row>
    <row r="10" spans="1:5">
      <c r="B10" t="s">
        <v>6</v>
      </c>
      <c r="C10" s="1">
        <v>0</v>
      </c>
      <c r="D10">
        <v>2</v>
      </c>
      <c r="E10" t="s">
        <v>9</v>
      </c>
    </row>
    <row r="11" spans="1:5">
      <c r="B11" t="s">
        <v>6</v>
      </c>
      <c r="C11" s="1">
        <v>0</v>
      </c>
      <c r="D11">
        <v>2</v>
      </c>
      <c r="E11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3"/>
  <sheetViews>
    <sheetView workbookViewId="0"/>
  </sheetViews>
  <sheetFormatPr defaultRowHeight="15"/>
  <cols>
    <col min="1" max="2" width="16.7109375" customWidth="1"/>
    <col min="3" max="3" width="14.7109375" style="1" customWidth="1"/>
    <col min="4" max="6" width="16.7109375" customWidth="1"/>
    <col min="7" max="9" width="14.7109375" style="1" customWidth="1"/>
    <col min="10" max="10" width="16.7109375" customWidth="1"/>
  </cols>
  <sheetData>
    <row r="1" spans="1:10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4</v>
      </c>
    </row>
    <row r="2" spans="1:10">
      <c r="A2" s="3">
        <v>45903</v>
      </c>
      <c r="B2" t="s">
        <v>18</v>
      </c>
      <c r="C2" s="1">
        <v>1200</v>
      </c>
      <c r="D2" t="s">
        <v>45</v>
      </c>
      <c r="E2" t="s">
        <v>51</v>
      </c>
      <c r="F2" t="s">
        <v>54</v>
      </c>
      <c r="G2" s="1" t="b">
        <v>0</v>
      </c>
      <c r="H2" s="1">
        <v>0</v>
      </c>
      <c r="I2" s="1">
        <v>1200</v>
      </c>
      <c r="J2" t="s">
        <v>7</v>
      </c>
    </row>
    <row r="3" spans="1:10">
      <c r="A3" s="3">
        <v>45922</v>
      </c>
      <c r="B3" t="s">
        <v>19</v>
      </c>
      <c r="C3" s="1">
        <v>96.19</v>
      </c>
      <c r="D3" t="s">
        <v>45</v>
      </c>
      <c r="F3" t="s">
        <v>55</v>
      </c>
      <c r="G3" s="1" t="b">
        <v>1</v>
      </c>
      <c r="H3" s="1">
        <v>96.19</v>
      </c>
      <c r="I3" s="1">
        <v>0</v>
      </c>
      <c r="J3" t="s">
        <v>7</v>
      </c>
    </row>
    <row r="4" spans="1:10">
      <c r="A4" s="3">
        <v>45925</v>
      </c>
      <c r="B4" t="s">
        <v>19</v>
      </c>
      <c r="C4" s="1">
        <v>181.75</v>
      </c>
      <c r="D4" t="s">
        <v>45</v>
      </c>
      <c r="F4" t="s">
        <v>55</v>
      </c>
      <c r="G4" s="1" t="b">
        <v>1</v>
      </c>
      <c r="H4" s="1">
        <v>181.75</v>
      </c>
      <c r="I4" s="1">
        <v>0</v>
      </c>
      <c r="J4" t="s">
        <v>7</v>
      </c>
    </row>
    <row r="5" spans="1:10">
      <c r="A5" s="3">
        <v>45926</v>
      </c>
      <c r="B5" t="s">
        <v>20</v>
      </c>
      <c r="C5" s="1">
        <v>547.9</v>
      </c>
      <c r="D5" t="s">
        <v>45</v>
      </c>
      <c r="E5" t="s">
        <v>51</v>
      </c>
      <c r="F5" t="s">
        <v>55</v>
      </c>
      <c r="G5" s="1" t="b">
        <v>1</v>
      </c>
      <c r="H5" s="1">
        <v>547.9</v>
      </c>
      <c r="I5" s="1">
        <v>0</v>
      </c>
      <c r="J5" t="s">
        <v>7</v>
      </c>
    </row>
    <row r="6" spans="1:10">
      <c r="A6" s="3">
        <v>45926</v>
      </c>
      <c r="B6" t="s">
        <v>21</v>
      </c>
      <c r="C6" s="1">
        <v>40</v>
      </c>
      <c r="D6" t="s">
        <v>46</v>
      </c>
      <c r="E6" t="s">
        <v>52</v>
      </c>
      <c r="F6" t="s">
        <v>55</v>
      </c>
      <c r="G6" s="1" t="b">
        <v>1</v>
      </c>
      <c r="H6" s="1">
        <v>40</v>
      </c>
      <c r="I6" s="1">
        <v>0</v>
      </c>
      <c r="J6" t="s">
        <v>7</v>
      </c>
    </row>
    <row r="7" spans="1:10">
      <c r="A7" s="3">
        <v>45926</v>
      </c>
      <c r="B7" t="s">
        <v>22</v>
      </c>
      <c r="C7" s="1">
        <v>89</v>
      </c>
      <c r="D7" t="s">
        <v>46</v>
      </c>
      <c r="E7" t="s">
        <v>51</v>
      </c>
      <c r="F7" t="s">
        <v>54</v>
      </c>
      <c r="G7" s="1" t="b">
        <v>0</v>
      </c>
      <c r="H7" s="1">
        <v>0</v>
      </c>
      <c r="I7" s="1">
        <v>89</v>
      </c>
      <c r="J7" t="s">
        <v>7</v>
      </c>
    </row>
    <row r="8" spans="1:10">
      <c r="A8" s="3">
        <v>45926</v>
      </c>
      <c r="B8" t="s">
        <v>23</v>
      </c>
      <c r="C8" s="1">
        <v>142</v>
      </c>
      <c r="D8" t="s">
        <v>45</v>
      </c>
      <c r="F8" t="s">
        <v>55</v>
      </c>
      <c r="G8" s="1" t="b">
        <v>1</v>
      </c>
      <c r="H8" s="1">
        <v>142</v>
      </c>
      <c r="I8" s="1">
        <v>0</v>
      </c>
      <c r="J8" t="s">
        <v>7</v>
      </c>
    </row>
    <row r="9" spans="1:10">
      <c r="A9" s="3">
        <v>45930</v>
      </c>
      <c r="B9" t="s">
        <v>19</v>
      </c>
      <c r="C9" s="1">
        <v>86.09</v>
      </c>
      <c r="D9" t="s">
        <v>45</v>
      </c>
      <c r="E9" t="s">
        <v>51</v>
      </c>
      <c r="F9" t="s">
        <v>54</v>
      </c>
      <c r="G9" s="1" t="b">
        <v>0</v>
      </c>
      <c r="H9" s="1">
        <v>0</v>
      </c>
      <c r="I9" s="1">
        <v>86.09</v>
      </c>
      <c r="J9" t="s">
        <v>7</v>
      </c>
    </row>
    <row r="10" spans="1:10">
      <c r="A10" s="3">
        <v>45930</v>
      </c>
      <c r="B10" t="s">
        <v>24</v>
      </c>
      <c r="C10" s="1">
        <v>151</v>
      </c>
      <c r="D10" t="s">
        <v>47</v>
      </c>
      <c r="E10" t="s">
        <v>51</v>
      </c>
      <c r="F10" t="s">
        <v>55</v>
      </c>
      <c r="G10" s="1" t="b">
        <v>1</v>
      </c>
      <c r="H10" s="1">
        <v>151</v>
      </c>
      <c r="I10" s="1">
        <v>0</v>
      </c>
      <c r="J10" t="s">
        <v>7</v>
      </c>
    </row>
    <row r="11" spans="1:10">
      <c r="A11" s="3">
        <v>45930</v>
      </c>
      <c r="B11" t="s">
        <v>25</v>
      </c>
      <c r="C11" s="1">
        <v>359</v>
      </c>
      <c r="D11" t="s">
        <v>45</v>
      </c>
      <c r="E11" t="s">
        <v>51</v>
      </c>
      <c r="F11" t="s">
        <v>55</v>
      </c>
      <c r="G11" s="1" t="b">
        <v>1</v>
      </c>
      <c r="H11" s="1">
        <v>359</v>
      </c>
      <c r="I11" s="1">
        <v>0</v>
      </c>
      <c r="J11" t="s">
        <v>7</v>
      </c>
    </row>
    <row r="12" spans="1:10">
      <c r="A12" s="3">
        <v>45930</v>
      </c>
      <c r="B12" t="s">
        <v>26</v>
      </c>
      <c r="C12" s="1">
        <v>179.66</v>
      </c>
      <c r="D12" t="s">
        <v>47</v>
      </c>
      <c r="E12" t="s">
        <v>51</v>
      </c>
      <c r="F12" t="s">
        <v>55</v>
      </c>
      <c r="G12" s="1" t="b">
        <v>1</v>
      </c>
      <c r="H12" s="1">
        <v>179.66</v>
      </c>
      <c r="I12" s="1">
        <v>0</v>
      </c>
      <c r="J12" t="s">
        <v>7</v>
      </c>
    </row>
    <row r="13" spans="1:10">
      <c r="A13" s="3">
        <v>45930</v>
      </c>
      <c r="B13" t="s">
        <v>27</v>
      </c>
      <c r="C13" s="1">
        <v>150.75</v>
      </c>
      <c r="D13" t="s">
        <v>45</v>
      </c>
      <c r="E13" t="s">
        <v>51</v>
      </c>
      <c r="F13" t="s">
        <v>55</v>
      </c>
      <c r="G13" s="1" t="b">
        <v>1</v>
      </c>
      <c r="H13" s="1">
        <v>150.75</v>
      </c>
      <c r="I13" s="1">
        <v>0</v>
      </c>
      <c r="J13" t="s">
        <v>7</v>
      </c>
    </row>
    <row r="14" spans="1:10">
      <c r="A14" s="3">
        <v>45931</v>
      </c>
      <c r="B14" t="s">
        <v>28</v>
      </c>
      <c r="C14" s="1">
        <v>2052.09</v>
      </c>
      <c r="D14" t="s">
        <v>45</v>
      </c>
      <c r="E14" t="s">
        <v>51</v>
      </c>
      <c r="F14" t="s">
        <v>55</v>
      </c>
      <c r="G14" s="1" t="b">
        <v>1</v>
      </c>
      <c r="H14" s="1">
        <v>2052.09</v>
      </c>
      <c r="I14" s="1">
        <v>0</v>
      </c>
      <c r="J14" t="s">
        <v>8</v>
      </c>
    </row>
    <row r="15" spans="1:10">
      <c r="A15" s="3">
        <v>45931</v>
      </c>
      <c r="B15" t="s">
        <v>29</v>
      </c>
      <c r="C15" s="1">
        <v>2004</v>
      </c>
      <c r="D15" t="s">
        <v>45</v>
      </c>
      <c r="F15" t="s">
        <v>55</v>
      </c>
      <c r="G15" s="1" t="b">
        <v>1</v>
      </c>
      <c r="H15" s="1">
        <v>2004</v>
      </c>
      <c r="I15" s="1">
        <v>0</v>
      </c>
      <c r="J15" t="s">
        <v>8</v>
      </c>
    </row>
    <row r="16" spans="1:10">
      <c r="A16" s="3">
        <v>45935</v>
      </c>
      <c r="B16" t="s">
        <v>30</v>
      </c>
      <c r="C16" s="1">
        <v>312</v>
      </c>
      <c r="D16" t="s">
        <v>45</v>
      </c>
      <c r="E16" t="s">
        <v>51</v>
      </c>
      <c r="F16" t="s">
        <v>55</v>
      </c>
      <c r="G16" s="1" t="b">
        <v>1</v>
      </c>
      <c r="H16" s="1">
        <v>312</v>
      </c>
      <c r="I16" s="1">
        <v>0</v>
      </c>
      <c r="J16" t="s">
        <v>8</v>
      </c>
    </row>
    <row r="17" spans="1:10">
      <c r="A17" s="3">
        <v>45940</v>
      </c>
      <c r="B17" t="s">
        <v>31</v>
      </c>
      <c r="C17" s="1">
        <v>0</v>
      </c>
      <c r="D17" t="s">
        <v>48</v>
      </c>
      <c r="F17" t="s">
        <v>55</v>
      </c>
      <c r="G17" s="1" t="b">
        <v>1</v>
      </c>
      <c r="H17" s="1">
        <v>0</v>
      </c>
      <c r="I17" s="1">
        <v>0</v>
      </c>
      <c r="J17" t="s">
        <v>8</v>
      </c>
    </row>
    <row r="18" spans="1:10">
      <c r="A18" s="3">
        <v>45940</v>
      </c>
      <c r="B18" t="s">
        <v>19</v>
      </c>
      <c r="C18" s="1">
        <v>181.75</v>
      </c>
      <c r="D18" t="s">
        <v>49</v>
      </c>
      <c r="E18" t="s">
        <v>51</v>
      </c>
      <c r="F18" t="s">
        <v>54</v>
      </c>
      <c r="G18" s="1" t="b">
        <v>0</v>
      </c>
      <c r="H18" s="1">
        <v>0</v>
      </c>
      <c r="I18" s="1">
        <v>181.75</v>
      </c>
      <c r="J18" t="s">
        <v>8</v>
      </c>
    </row>
    <row r="19" spans="1:10">
      <c r="A19" s="3">
        <v>45940</v>
      </c>
      <c r="B19" t="s">
        <v>24</v>
      </c>
      <c r="C19" s="1">
        <v>180</v>
      </c>
      <c r="D19" t="s">
        <v>49</v>
      </c>
      <c r="F19" t="s">
        <v>55</v>
      </c>
      <c r="G19" s="1" t="b">
        <v>1</v>
      </c>
      <c r="H19" s="1">
        <v>180</v>
      </c>
      <c r="I19" s="1">
        <v>0</v>
      </c>
      <c r="J19" t="s">
        <v>8</v>
      </c>
    </row>
    <row r="20" spans="1:10">
      <c r="A20" s="3">
        <v>45940</v>
      </c>
      <c r="B20" t="s">
        <v>32</v>
      </c>
      <c r="C20" s="1">
        <v>200</v>
      </c>
      <c r="D20" t="s">
        <v>45</v>
      </c>
      <c r="E20" t="s">
        <v>51</v>
      </c>
      <c r="F20" t="s">
        <v>55</v>
      </c>
      <c r="G20" s="1" t="b">
        <v>1</v>
      </c>
      <c r="H20" s="1">
        <v>200</v>
      </c>
      <c r="I20" s="1">
        <v>0</v>
      </c>
      <c r="J20" t="s">
        <v>8</v>
      </c>
    </row>
    <row r="21" spans="1:10">
      <c r="A21" s="3">
        <v>45940</v>
      </c>
      <c r="B21" t="s">
        <v>32</v>
      </c>
      <c r="C21" s="1">
        <v>200</v>
      </c>
      <c r="D21" t="s">
        <v>46</v>
      </c>
      <c r="F21" t="s">
        <v>55</v>
      </c>
      <c r="G21" s="1" t="b">
        <v>1</v>
      </c>
      <c r="H21" s="1">
        <v>200</v>
      </c>
      <c r="I21" s="1">
        <v>0</v>
      </c>
      <c r="J21" t="s">
        <v>8</v>
      </c>
    </row>
    <row r="22" spans="1:10">
      <c r="A22" s="3">
        <v>45940</v>
      </c>
      <c r="B22" t="s">
        <v>33</v>
      </c>
      <c r="C22" s="1">
        <v>50.12</v>
      </c>
      <c r="D22" t="s">
        <v>45</v>
      </c>
      <c r="E22" t="s">
        <v>51</v>
      </c>
      <c r="F22" t="s">
        <v>55</v>
      </c>
      <c r="G22" s="1" t="b">
        <v>1</v>
      </c>
      <c r="H22" s="1">
        <v>50.12</v>
      </c>
      <c r="I22" s="1">
        <v>0</v>
      </c>
      <c r="J22" t="s">
        <v>8</v>
      </c>
    </row>
    <row r="23" spans="1:10">
      <c r="A23" s="3">
        <v>45940</v>
      </c>
      <c r="B23" t="s">
        <v>34</v>
      </c>
      <c r="C23" s="1">
        <v>72</v>
      </c>
      <c r="D23" t="s">
        <v>47</v>
      </c>
      <c r="F23" t="s">
        <v>55</v>
      </c>
      <c r="G23" s="1" t="b">
        <v>1</v>
      </c>
      <c r="H23" s="1">
        <v>72</v>
      </c>
      <c r="I23" s="1">
        <v>0</v>
      </c>
      <c r="J23" t="s">
        <v>8</v>
      </c>
    </row>
    <row r="24" spans="1:10">
      <c r="A24" s="3">
        <v>45940</v>
      </c>
      <c r="B24" t="s">
        <v>21</v>
      </c>
      <c r="C24" s="1">
        <v>50</v>
      </c>
      <c r="D24" t="s">
        <v>49</v>
      </c>
      <c r="F24" t="s">
        <v>55</v>
      </c>
      <c r="G24" s="1" t="b">
        <v>1</v>
      </c>
      <c r="H24" s="1">
        <v>50</v>
      </c>
      <c r="I24" s="1">
        <v>0</v>
      </c>
      <c r="J24" t="s">
        <v>8</v>
      </c>
    </row>
    <row r="25" spans="1:10">
      <c r="A25" s="3">
        <v>45940</v>
      </c>
      <c r="B25" t="s">
        <v>25</v>
      </c>
      <c r="C25" s="1">
        <v>359</v>
      </c>
      <c r="D25" t="s">
        <v>45</v>
      </c>
      <c r="E25" t="s">
        <v>53</v>
      </c>
      <c r="F25" t="s">
        <v>55</v>
      </c>
      <c r="G25" s="1" t="b">
        <v>1</v>
      </c>
      <c r="H25" s="1">
        <v>359</v>
      </c>
      <c r="I25" s="1">
        <v>0</v>
      </c>
      <c r="J25" t="s">
        <v>8</v>
      </c>
    </row>
    <row r="26" spans="1:10">
      <c r="A26" s="3">
        <v>45940</v>
      </c>
      <c r="B26" t="s">
        <v>25</v>
      </c>
      <c r="C26" s="1">
        <v>359</v>
      </c>
      <c r="D26" t="s">
        <v>49</v>
      </c>
      <c r="F26" t="s">
        <v>55</v>
      </c>
      <c r="G26" s="1" t="b">
        <v>1</v>
      </c>
      <c r="H26" s="1">
        <v>359</v>
      </c>
      <c r="I26" s="1">
        <v>0</v>
      </c>
      <c r="J26" t="s">
        <v>8</v>
      </c>
    </row>
    <row r="27" spans="1:10">
      <c r="A27" s="3">
        <v>45940</v>
      </c>
      <c r="B27" t="s">
        <v>35</v>
      </c>
      <c r="C27" s="1">
        <v>308</v>
      </c>
      <c r="D27" t="s">
        <v>45</v>
      </c>
      <c r="F27" t="s">
        <v>55</v>
      </c>
      <c r="G27" s="1" t="b">
        <v>1</v>
      </c>
      <c r="H27" s="1">
        <v>308</v>
      </c>
      <c r="I27" s="1">
        <v>0</v>
      </c>
      <c r="J27" t="s">
        <v>8</v>
      </c>
    </row>
    <row r="28" spans="1:10">
      <c r="A28" s="3">
        <v>45940</v>
      </c>
      <c r="B28" t="s">
        <v>26</v>
      </c>
      <c r="C28" s="1">
        <v>179</v>
      </c>
      <c r="D28" t="s">
        <v>49</v>
      </c>
      <c r="F28" t="s">
        <v>55</v>
      </c>
      <c r="G28" s="1" t="b">
        <v>1</v>
      </c>
      <c r="H28" s="1">
        <v>179</v>
      </c>
      <c r="I28" s="1">
        <v>0</v>
      </c>
      <c r="J28" t="s">
        <v>8</v>
      </c>
    </row>
    <row r="29" spans="1:10">
      <c r="A29" s="3">
        <v>45940</v>
      </c>
      <c r="B29" t="s">
        <v>36</v>
      </c>
      <c r="C29" s="1">
        <v>36.46</v>
      </c>
      <c r="D29" t="s">
        <v>45</v>
      </c>
      <c r="F29" t="s">
        <v>55</v>
      </c>
      <c r="G29" s="1" t="b">
        <v>1</v>
      </c>
      <c r="H29" s="1">
        <v>36.46</v>
      </c>
      <c r="I29" s="1">
        <v>0</v>
      </c>
      <c r="J29" t="s">
        <v>8</v>
      </c>
    </row>
    <row r="30" spans="1:10">
      <c r="A30" s="3">
        <v>45940</v>
      </c>
      <c r="B30" t="s">
        <v>36</v>
      </c>
      <c r="C30" s="1">
        <v>86.09</v>
      </c>
      <c r="D30" t="s">
        <v>45</v>
      </c>
      <c r="F30" t="s">
        <v>55</v>
      </c>
      <c r="G30" s="1" t="b">
        <v>1</v>
      </c>
      <c r="H30" s="1">
        <v>86.09</v>
      </c>
      <c r="I30" s="1">
        <v>0</v>
      </c>
      <c r="J30" t="s">
        <v>8</v>
      </c>
    </row>
    <row r="31" spans="1:10">
      <c r="A31" s="3">
        <v>45940</v>
      </c>
      <c r="B31" t="s">
        <v>37</v>
      </c>
      <c r="C31" s="1">
        <v>150</v>
      </c>
      <c r="D31" t="s">
        <v>45</v>
      </c>
      <c r="F31" t="s">
        <v>55</v>
      </c>
      <c r="G31" s="1" t="b">
        <v>1</v>
      </c>
      <c r="H31" s="1">
        <v>150</v>
      </c>
      <c r="I31" s="1">
        <v>0</v>
      </c>
      <c r="J31" t="s">
        <v>8</v>
      </c>
    </row>
    <row r="32" spans="1:10">
      <c r="A32" s="3">
        <v>45947</v>
      </c>
      <c r="B32" t="s">
        <v>38</v>
      </c>
      <c r="C32" s="1">
        <v>303</v>
      </c>
      <c r="D32" t="s">
        <v>46</v>
      </c>
      <c r="F32" t="s">
        <v>55</v>
      </c>
      <c r="G32" s="1" t="b">
        <v>1</v>
      </c>
      <c r="H32" s="1">
        <v>303</v>
      </c>
      <c r="I32" s="1">
        <v>0</v>
      </c>
      <c r="J32" t="s">
        <v>8</v>
      </c>
    </row>
    <row r="33" spans="1:10">
      <c r="A33" s="3">
        <v>45954</v>
      </c>
      <c r="B33" t="s">
        <v>19</v>
      </c>
      <c r="C33" s="1">
        <v>55.57</v>
      </c>
      <c r="D33" t="s">
        <v>49</v>
      </c>
      <c r="E33" t="s">
        <v>51</v>
      </c>
      <c r="F33" t="s">
        <v>54</v>
      </c>
      <c r="G33" s="1" t="b">
        <v>0</v>
      </c>
      <c r="H33" s="1">
        <v>0</v>
      </c>
      <c r="I33" s="1">
        <v>55.57</v>
      </c>
      <c r="J33" t="s">
        <v>8</v>
      </c>
    </row>
    <row r="34" spans="1:10">
      <c r="A34" s="3">
        <v>45954</v>
      </c>
      <c r="B34" t="s">
        <v>39</v>
      </c>
      <c r="C34" s="1">
        <v>0</v>
      </c>
      <c r="D34" t="s">
        <v>47</v>
      </c>
      <c r="E34" t="s">
        <v>51</v>
      </c>
      <c r="F34" t="s">
        <v>54</v>
      </c>
      <c r="G34" s="1" t="b">
        <v>0</v>
      </c>
      <c r="H34" s="1">
        <v>0</v>
      </c>
      <c r="I34" s="1">
        <v>0</v>
      </c>
      <c r="J34" t="s">
        <v>8</v>
      </c>
    </row>
    <row r="35" spans="1:10">
      <c r="A35" s="3">
        <v>45954</v>
      </c>
      <c r="B35" t="s">
        <v>40</v>
      </c>
      <c r="C35" s="1">
        <v>0</v>
      </c>
      <c r="D35" t="s">
        <v>47</v>
      </c>
      <c r="E35" t="s">
        <v>51</v>
      </c>
      <c r="F35" t="s">
        <v>54</v>
      </c>
      <c r="G35" s="1" t="b">
        <v>0</v>
      </c>
      <c r="H35" s="1">
        <v>0</v>
      </c>
      <c r="I35" s="1">
        <v>0</v>
      </c>
      <c r="J35" t="s">
        <v>8</v>
      </c>
    </row>
    <row r="36" spans="1:10">
      <c r="A36" s="3">
        <v>45954</v>
      </c>
      <c r="B36" t="s">
        <v>29</v>
      </c>
      <c r="C36" s="1">
        <v>603</v>
      </c>
      <c r="D36" t="s">
        <v>46</v>
      </c>
      <c r="E36" t="s">
        <v>51</v>
      </c>
      <c r="F36" t="s">
        <v>54</v>
      </c>
      <c r="G36" s="1" t="b">
        <v>0</v>
      </c>
      <c r="H36" s="1">
        <v>0</v>
      </c>
      <c r="I36" s="1">
        <v>603</v>
      </c>
      <c r="J36" t="s">
        <v>8</v>
      </c>
    </row>
    <row r="37" spans="1:10">
      <c r="A37" s="3">
        <v>45954</v>
      </c>
      <c r="B37" t="s">
        <v>41</v>
      </c>
      <c r="C37" s="1">
        <v>1200</v>
      </c>
      <c r="D37" t="s">
        <v>49</v>
      </c>
      <c r="E37" t="s">
        <v>51</v>
      </c>
      <c r="F37" t="s">
        <v>54</v>
      </c>
      <c r="G37" s="1" t="b">
        <v>0</v>
      </c>
      <c r="H37" s="1">
        <v>0</v>
      </c>
      <c r="I37" s="1">
        <v>1200</v>
      </c>
      <c r="J37" t="s">
        <v>8</v>
      </c>
    </row>
    <row r="38" spans="1:10">
      <c r="A38" s="3">
        <v>45955</v>
      </c>
      <c r="B38" t="s">
        <v>19</v>
      </c>
      <c r="C38" s="1">
        <v>36.46</v>
      </c>
      <c r="D38" t="s">
        <v>49</v>
      </c>
      <c r="E38" t="s">
        <v>51</v>
      </c>
      <c r="F38" t="s">
        <v>54</v>
      </c>
      <c r="G38" s="1" t="b">
        <v>0</v>
      </c>
      <c r="H38" s="1">
        <v>0</v>
      </c>
      <c r="I38" s="1">
        <v>36.46</v>
      </c>
      <c r="J38" t="s">
        <v>8</v>
      </c>
    </row>
    <row r="39" spans="1:10">
      <c r="A39" s="3">
        <v>45955</v>
      </c>
      <c r="B39" t="s">
        <v>42</v>
      </c>
      <c r="C39" s="1">
        <v>547.9</v>
      </c>
      <c r="D39" t="s">
        <v>46</v>
      </c>
      <c r="E39" t="s">
        <v>51</v>
      </c>
      <c r="F39" t="s">
        <v>54</v>
      </c>
      <c r="G39" s="1" t="b">
        <v>0</v>
      </c>
      <c r="H39" s="1">
        <v>0</v>
      </c>
      <c r="I39" s="1">
        <v>547.9</v>
      </c>
      <c r="J39" t="s">
        <v>8</v>
      </c>
    </row>
    <row r="40" spans="1:10">
      <c r="A40" s="3">
        <v>45956</v>
      </c>
      <c r="B40" t="s">
        <v>19</v>
      </c>
      <c r="C40" s="1">
        <v>86.09</v>
      </c>
      <c r="D40" t="s">
        <v>49</v>
      </c>
      <c r="E40" t="s">
        <v>51</v>
      </c>
      <c r="F40" t="s">
        <v>54</v>
      </c>
      <c r="G40" s="1" t="b">
        <v>0</v>
      </c>
      <c r="H40" s="1">
        <v>0</v>
      </c>
      <c r="I40" s="1">
        <v>86.09</v>
      </c>
      <c r="J40" t="s">
        <v>8</v>
      </c>
    </row>
    <row r="41" spans="1:10">
      <c r="A41" s="3">
        <v>45956</v>
      </c>
      <c r="B41" t="s">
        <v>29</v>
      </c>
      <c r="C41" s="1">
        <v>142</v>
      </c>
      <c r="D41" t="s">
        <v>49</v>
      </c>
      <c r="E41" t="s">
        <v>51</v>
      </c>
      <c r="F41" t="s">
        <v>54</v>
      </c>
      <c r="G41" s="1" t="b">
        <v>0</v>
      </c>
      <c r="H41" s="1">
        <v>0</v>
      </c>
      <c r="I41" s="1">
        <v>142</v>
      </c>
      <c r="J41" t="s">
        <v>8</v>
      </c>
    </row>
    <row r="42" spans="1:10">
      <c r="A42" s="3">
        <v>45957</v>
      </c>
      <c r="B42" t="s">
        <v>19</v>
      </c>
      <c r="C42" s="1">
        <v>96.19</v>
      </c>
      <c r="D42" t="s">
        <v>49</v>
      </c>
      <c r="E42" t="s">
        <v>51</v>
      </c>
      <c r="F42" t="s">
        <v>54</v>
      </c>
      <c r="G42" s="1" t="b">
        <v>0</v>
      </c>
      <c r="H42" s="1">
        <v>0</v>
      </c>
      <c r="I42" s="1">
        <v>96.19</v>
      </c>
      <c r="J42" t="s">
        <v>8</v>
      </c>
    </row>
    <row r="43" spans="1:10">
      <c r="A43" s="3">
        <v>45962</v>
      </c>
      <c r="B43" t="s">
        <v>29</v>
      </c>
      <c r="C43" s="1">
        <v>2004</v>
      </c>
      <c r="D43" t="s">
        <v>45</v>
      </c>
      <c r="E43" t="s">
        <v>51</v>
      </c>
      <c r="F43" t="s">
        <v>54</v>
      </c>
      <c r="G43" s="1" t="b">
        <v>0</v>
      </c>
      <c r="H43" s="1">
        <v>0</v>
      </c>
      <c r="I43" s="1">
        <v>2004</v>
      </c>
      <c r="J43" t="s">
        <v>57</v>
      </c>
    </row>
    <row r="44" spans="1:10">
      <c r="B44" t="s">
        <v>43</v>
      </c>
      <c r="F44" t="s">
        <v>56</v>
      </c>
      <c r="G44" s="1" t="b">
        <v>0</v>
      </c>
      <c r="H44" s="1">
        <v>0</v>
      </c>
      <c r="J44" t="s">
        <v>9</v>
      </c>
    </row>
    <row r="45" spans="1:10">
      <c r="B45" t="s">
        <v>44</v>
      </c>
      <c r="F45" t="s">
        <v>56</v>
      </c>
      <c r="G45" s="1" t="b">
        <v>0</v>
      </c>
      <c r="H45" s="1">
        <v>0</v>
      </c>
      <c r="J45" t="s">
        <v>9</v>
      </c>
    </row>
    <row r="46" spans="1:10">
      <c r="F46" t="s">
        <v>56</v>
      </c>
      <c r="G46" s="1" t="b">
        <v>0</v>
      </c>
      <c r="H46" s="1">
        <v>0</v>
      </c>
      <c r="J46" t="s">
        <v>9</v>
      </c>
    </row>
    <row r="47" spans="1:10">
      <c r="D47" t="s">
        <v>45</v>
      </c>
      <c r="F47" t="s">
        <v>56</v>
      </c>
      <c r="G47" s="1" t="b">
        <v>0</v>
      </c>
      <c r="H47" s="1">
        <v>0</v>
      </c>
      <c r="J47" t="s">
        <v>9</v>
      </c>
    </row>
    <row r="48" spans="1:10">
      <c r="F48" t="s">
        <v>56</v>
      </c>
      <c r="G48" s="1" t="b">
        <v>0</v>
      </c>
      <c r="H48" s="1">
        <v>0</v>
      </c>
      <c r="J48" t="s">
        <v>9</v>
      </c>
    </row>
    <row r="49" spans="4:10">
      <c r="F49" t="s">
        <v>56</v>
      </c>
      <c r="G49" s="1" t="b">
        <v>0</v>
      </c>
      <c r="H49" s="1">
        <v>0</v>
      </c>
      <c r="J49" t="s">
        <v>9</v>
      </c>
    </row>
    <row r="50" spans="4:10">
      <c r="F50" t="s">
        <v>56</v>
      </c>
      <c r="G50" s="1" t="b">
        <v>0</v>
      </c>
      <c r="H50" s="1">
        <v>0</v>
      </c>
      <c r="J50" t="s">
        <v>9</v>
      </c>
    </row>
    <row r="51" spans="4:10">
      <c r="F51" t="s">
        <v>56</v>
      </c>
      <c r="G51" s="1" t="b">
        <v>0</v>
      </c>
      <c r="H51" s="1">
        <v>0</v>
      </c>
      <c r="J51" t="s">
        <v>9</v>
      </c>
    </row>
    <row r="52" spans="4:10">
      <c r="D52" t="s">
        <v>50</v>
      </c>
      <c r="F52" t="s">
        <v>56</v>
      </c>
      <c r="G52" s="1" t="b">
        <v>0</v>
      </c>
      <c r="H52" s="1">
        <v>0</v>
      </c>
      <c r="J52" t="s">
        <v>9</v>
      </c>
    </row>
    <row r="53" spans="4:10">
      <c r="D53" t="s">
        <v>50</v>
      </c>
      <c r="F53" t="s">
        <v>56</v>
      </c>
      <c r="G53" s="1" t="b">
        <v>0</v>
      </c>
      <c r="H53" s="1">
        <v>0</v>
      </c>
      <c r="J53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18.7109375" customWidth="1"/>
    <col min="2" max="7" width="18.7109375" style="1" customWidth="1"/>
  </cols>
  <sheetData>
    <row r="1" spans="1:7">
      <c r="A1" s="2" t="s">
        <v>58</v>
      </c>
      <c r="B1" s="2" t="s">
        <v>59</v>
      </c>
      <c r="C1" s="2" t="s">
        <v>16</v>
      </c>
      <c r="D1" s="2" t="s">
        <v>17</v>
      </c>
      <c r="E1" s="2" t="s">
        <v>60</v>
      </c>
      <c r="F1" s="2" t="s">
        <v>61</v>
      </c>
      <c r="G1" s="2" t="s">
        <v>62</v>
      </c>
    </row>
    <row r="2" spans="1:7">
      <c r="A2" t="s">
        <v>63</v>
      </c>
      <c r="B2" s="1">
        <v>4500</v>
      </c>
      <c r="C2" s="1">
        <v>1848.25</v>
      </c>
      <c r="D2" s="1">
        <v>1375.09</v>
      </c>
      <c r="E2" s="1">
        <v>3223.34</v>
      </c>
      <c r="F2" s="1">
        <v>1276.66</v>
      </c>
      <c r="G2" s="1">
        <v>2651.75</v>
      </c>
    </row>
    <row r="3" spans="1:7">
      <c r="A3" t="s">
        <v>64</v>
      </c>
      <c r="B3" s="1">
        <v>11400</v>
      </c>
      <c r="C3" s="1">
        <v>6900.76</v>
      </c>
      <c r="D3" s="1">
        <v>2948.96</v>
      </c>
      <c r="E3" s="1">
        <v>9849.720000000001</v>
      </c>
      <c r="F3" s="1">
        <v>1550.279999999999</v>
      </c>
      <c r="G3" s="1">
        <v>4499.24</v>
      </c>
    </row>
    <row r="4" spans="1:7">
      <c r="A4" t="s">
        <v>65</v>
      </c>
      <c r="B4" s="1">
        <v>0</v>
      </c>
      <c r="C4" s="1">
        <v>0</v>
      </c>
      <c r="D4" s="1">
        <v>2004</v>
      </c>
      <c r="E4" s="1">
        <v>2004</v>
      </c>
      <c r="F4" s="1">
        <v>-2004</v>
      </c>
      <c r="G4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36.7109375" customWidth="1"/>
    <col min="2" max="2" width="26.7109375" customWidth="1"/>
  </cols>
  <sheetData>
    <row r="1" spans="1:2">
      <c r="A1" s="4" t="s">
        <v>66</v>
      </c>
    </row>
    <row r="3" spans="1:2">
      <c r="A3" s="5" t="s">
        <v>67</v>
      </c>
    </row>
    <row r="4" spans="1:2">
      <c r="A4" s="6" t="s">
        <v>68</v>
      </c>
      <c r="B4">
        <f>IF($B$3="","",TEXT(DATE(VALUE(RIGHT($B$3,4)),MATCH(LEFT($B$3,3), {"Jan","Feb","Mar","Apr","May","Jun","Jul","Aug","Sep","Oct","Nov","Dec"}, 0),1),"yyyy-mm"))</f>
        <v>0</v>
      </c>
    </row>
    <row r="5" spans="1:2">
      <c r="A5" s="5" t="s">
        <v>69</v>
      </c>
    </row>
    <row r="6" spans="1:2">
      <c r="A6" s="5" t="s">
        <v>70</v>
      </c>
      <c r="B6" s="7">
        <f>IF($B$3="","", SUMPRODUCT(('Budget (PRO)'!$J:$J=$B$4)*('Budget (PRO)'!$G:$G&gt;0)))</f>
        <v>0</v>
      </c>
    </row>
    <row r="7" spans="1:2">
      <c r="A7" s="5" t="s">
        <v>71</v>
      </c>
      <c r="B7" s="7">
        <f>IF($B$3="","", SUMIF('Budget (PRO)'!$J:$J, $B$4, 'Budget (PRO)'!$G:$G))</f>
        <v>0</v>
      </c>
    </row>
    <row r="8" spans="1:2">
      <c r="A8" s="5" t="s">
        <v>72</v>
      </c>
      <c r="B8" s="7">
        <f>IF($B$3="","", SUMPRODUCT(('Budget (PRO)'!$J:$J=$B$4)*('Budget (PRO)'!$H:$H&gt;0)))</f>
        <v>0</v>
      </c>
    </row>
    <row r="9" spans="1:2">
      <c r="A9" s="5" t="s">
        <v>73</v>
      </c>
      <c r="B9" s="7">
        <f>IF($B$3="","", SUMIF('Budget (PRO)'!$J:$J, $B$4, 'Budget (PRO)'!$H:$H))</f>
        <v>0</v>
      </c>
    </row>
    <row r="10" spans="1:2">
      <c r="A10" s="5" t="s">
        <v>74</v>
      </c>
      <c r="B10" s="7">
        <f>IF($B$3="",0, IFERROR(INDEX('Monthly Summary (PRO)'!$G:$G, MATCH($B$3, 'Monthly Summary (PRO)'!$A:$A, 0)), 0))</f>
        <v>0</v>
      </c>
    </row>
    <row r="11" spans="1:2">
      <c r="A11" s="5" t="s">
        <v>61</v>
      </c>
      <c r="B11" s="7">
        <f>IF($B$3="",0, IFERROR(INDEX('Monthly Summary (PRO)'!$F:$F, MATCH($B$3, 'Monthly Summary (PRO)'!$A:$A, 0)), 0))</f>
        <v>0</v>
      </c>
    </row>
  </sheetData>
  <dataValidations count="1">
    <dataValidation type="list" allowBlank="1" showInputMessage="1" showErrorMessage="1" sqref="B3">
      <formula1>'Monthly Summary (PRO)'!$A$2:$A$4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Income (PRO)</vt:lpstr>
      <vt:lpstr>Budget (PRO)</vt:lpstr>
      <vt:lpstr>Monthly Summary (PRO)</vt:lpstr>
      <vt:lpstr>Dashboard (PRO)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2025-10-10T17:40:40Z</dcterms:created>
  <dcterms:modified xsi:type="dcterms:W3CDTF">2025-10-10T17:40:40Z</dcterms:modified>
</cp:coreProperties>
</file>