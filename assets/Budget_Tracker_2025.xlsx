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come (PRO)" sheetId="1" state="visible" r:id="rId3"/>
    <sheet name="Budget (PRO)" sheetId="2" state="visible" r:id="rId4"/>
    <sheet name="Monthly Summary (PRO)" sheetId="3" state="visible" r:id="rId5"/>
    <sheet name="Dashboard (PRO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<sst xmlns="http://schemas.openxmlformats.org/spreadsheetml/2006/main" count="245" uniqueCount="67">
  <si>
    <t xml:space="preserve">Date</t>
  </si>
  <si>
    <t xml:space="preserve">Source</t>
  </si>
  <si>
    <t xml:space="preserve">Net</t>
  </si>
  <si>
    <t xml:space="preserve">Pay #</t>
  </si>
  <si>
    <t xml:space="preserve">Month</t>
  </si>
  <si>
    <t xml:space="preserve">Reserve</t>
  </si>
  <si>
    <t xml:space="preserve">2025-09</t>
  </si>
  <si>
    <t xml:space="preserve">Paycheck</t>
  </si>
  <si>
    <t xml:space="preserve">2025-10</t>
  </si>
  <si>
    <t xml:space="preserve">NaT</t>
  </si>
  <si>
    <t xml:space="preserve">Item</t>
  </si>
  <si>
    <t xml:space="preserve">Amount</t>
  </si>
  <si>
    <t xml:space="preserve">Priority</t>
  </si>
  <si>
    <t xml:space="preserve">Status</t>
  </si>
  <si>
    <t xml:space="preserve">Paid?</t>
  </si>
  <si>
    <t xml:space="preserve">PaidAmount</t>
  </si>
  <si>
    <t xml:space="preserve">DueAmount</t>
  </si>
  <si>
    <t xml:space="preserve">Flight Ticket</t>
  </si>
  <si>
    <t xml:space="preserve">High</t>
  </si>
  <si>
    <t xml:space="preserve">Upcoming</t>
  </si>
  <si>
    <t xml:space="preserve">no</t>
  </si>
  <si>
    <t xml:space="preserve">Affirm</t>
  </si>
  <si>
    <t xml:space="preserve">yes</t>
  </si>
  <si>
    <t xml:space="preserve">Car Payment</t>
  </si>
  <si>
    <t xml:space="preserve">Fortina</t>
  </si>
  <si>
    <t xml:space="preserve">Low</t>
  </si>
  <si>
    <t xml:space="preserve">Due now</t>
  </si>
  <si>
    <t xml:space="preserve">Miscellaneous</t>
  </si>
  <si>
    <t xml:space="preserve">Rent Plan (Back)</t>
  </si>
  <si>
    <t xml:space="preserve">Alliance</t>
  </si>
  <si>
    <t xml:space="preserve">Medium</t>
  </si>
  <si>
    <t xml:space="preserve">Mariner</t>
  </si>
  <si>
    <t xml:space="preserve">Progressive</t>
  </si>
  <si>
    <t xml:space="preserve">Sloan</t>
  </si>
  <si>
    <t xml:space="preserve">October Rent</t>
  </si>
  <si>
    <t xml:space="preserve">Rent</t>
  </si>
  <si>
    <t xml:space="preserve">JVT</t>
  </si>
  <si>
    <t xml:space="preserve">Adjustment</t>
  </si>
  <si>
    <t xml:space="preserve">low</t>
  </si>
  <si>
    <t xml:space="preserve">HIgh</t>
  </si>
  <si>
    <t xml:space="preserve">Capital One</t>
  </si>
  <si>
    <t xml:space="preserve">FPL</t>
  </si>
  <si>
    <t xml:space="preserve">Food</t>
  </si>
  <si>
    <t xml:space="preserve">upcoming</t>
  </si>
  <si>
    <t xml:space="preserve">Mazda</t>
  </si>
  <si>
    <t xml:space="preserve">affirm</t>
  </si>
  <si>
    <t xml:space="preserve">sloan</t>
  </si>
  <si>
    <t xml:space="preserve">Newera</t>
  </si>
  <si>
    <t xml:space="preserve">Cable</t>
  </si>
  <si>
    <t xml:space="preserve">Power</t>
  </si>
  <si>
    <t xml:space="preserve">Ticket</t>
  </si>
  <si>
    <t xml:space="preserve">car</t>
  </si>
  <si>
    <t xml:space="preserve">2025-11</t>
  </si>
  <si>
    <t xml:space="preserve">Month Label</t>
  </si>
  <si>
    <t xml:space="preserve">Income</t>
  </si>
  <si>
    <t xml:space="preserve">Expenses (Paid+Due)</t>
  </si>
  <si>
    <t xml:space="preserve">Net (Income - All Expenses)</t>
  </si>
  <si>
    <t xml:space="preserve">Remaining After Paid</t>
  </si>
  <si>
    <t xml:space="preserve">Budget Dashboard</t>
  </si>
  <si>
    <t xml:space="preserve">Current Date</t>
  </si>
  <si>
    <t xml:space="preserve">Month Key</t>
  </si>
  <si>
    <t xml:space="preserve">KPIs</t>
  </si>
  <si>
    <t xml:space="preserve">Paid Count</t>
  </si>
  <si>
    <t xml:space="preserve">Paid Amount</t>
  </si>
  <si>
    <t xml:space="preserve">Unpaid Count</t>
  </si>
  <si>
    <t xml:space="preserve">Unpaid Amount</t>
  </si>
  <si>
    <t xml:space="preserve">Net (Income – All)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</si>
</sst>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yyyy\-mm\-dd"/>
    <numFmt numFmtId="167" formatCode="mm/dd/yyyy"/>
    <numFmt numFmtId="168" formatCode="0"/>
    <numFmt numFmtId="169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i val="true"/>
      <sz val="11"/>
      <color rgb="FF666666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"Income"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 (PRO)'!$A$2:$A$4</c:f>
              <c:strCache>
                <c:ptCount val="3"/>
                <c:pt idx="0">
                  <c:v>Sep-2025</c:v>
                </c:pt>
                <c:pt idx="1">
                  <c:v>Oct-2025</c:v>
                </c:pt>
                <c:pt idx="2">
                  <c:v/>
                </c:pt>
              </c:strCache>
            </c:strRef>
          </c:cat>
          <c:val>
            <c:numRef>
              <c:f>'Monthly Summary (PRO)'!$B$2:$B$4</c:f>
              <c:numCache>
                <c:formatCode>\$#,##0.00</c:formatCode>
                <c:ptCount val="3"/>
                <c:pt idx="0">
                  <c:v>3223.34</c:v>
                </c:pt>
              </c:numCache>
            </c:numRef>
          </c:val>
        </c:ser>
        <c:ser>
          <c:idx val="1"/>
          <c:order val="1"/>
          <c:tx>
            <c:strRef>
              <c:f>"Expenses (Paid+Due)"</c:f>
              <c:strCache>
                <c:ptCount val="1"/>
                <c:pt idx="0">
                  <c:v>Expenses (Paid+Due)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 (PRO)'!$A$2:$A$4</c:f>
              <c:strCache>
                <c:ptCount val="3"/>
                <c:pt idx="0">
                  <c:v>Sep-2025</c:v>
                </c:pt>
                <c:pt idx="1">
                  <c:v>Oct-2025</c:v>
                </c:pt>
                <c:pt idx="2">
                  <c:v/>
                </c:pt>
              </c:strCache>
            </c:strRef>
          </c:cat>
          <c:val>
            <c:numRef>
              <c:f>'Monthly Summary (PRO)'!$E$2:$E$4</c:f>
              <c:numCache>
                <c:formatCode>\$#,##0.00</c:formatCode>
                <c:ptCount val="3"/>
                <c:pt idx="0">
                  <c:v>3223.34</c:v>
                </c:pt>
              </c:numCache>
            </c:numRef>
          </c:val>
        </c:ser>
        <c:gapWidth val="150"/>
        <c:overlap val="0"/>
        <c:axId val="36607492"/>
        <c:axId val="44811223"/>
      </c:barChart>
      <c:catAx>
        <c:axId val="366074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11223"/>
        <c:crosses val="autoZero"/>
        <c:auto val="1"/>
        <c:lblAlgn val="ctr"/>
        <c:lblOffset val="100"/>
        <c:noMultiLvlLbl val="0"/>
      </c:catAx>
      <c:valAx>
        <c:axId val="44811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6074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Remaining After Paid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"Remaining After Paid"</c:f>
              <c:strCache>
                <c:ptCount val="1"/>
                <c:pt idx="0">
                  <c:v>Remaining After Paid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 (PRO)'!$A$2:$A$4</c:f>
              <c:strCache>
                <c:ptCount val="3"/>
                <c:pt idx="0">
                  <c:v>Sep-2025</c:v>
                </c:pt>
                <c:pt idx="1">
                  <c:v>Oct-2025</c:v>
                </c:pt>
                <c:pt idx="2">
                  <c:v/>
                </c:pt>
              </c:strCache>
            </c:strRef>
          </c:cat>
          <c:val>
            <c:numRef>
              <c:f>'Monthly Summary (PRO)'!$G$2:$G$4</c:f>
              <c:numCache>
                <c:formatCode>\$#,##0.00</c:formatCode>
                <c:ptCount val="3"/>
                <c:pt idx="0">
                  <c:v>1375.09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558261"/>
        <c:axId val="23008753"/>
      </c:lineChart>
      <c:catAx>
        <c:axId val="635582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008753"/>
        <c:crosses val="autoZero"/>
        <c:auto val="1"/>
        <c:lblAlgn val="ctr"/>
        <c:lblOffset val="100"/>
        <c:noMultiLvlLbl val="0"/>
      </c:catAx>
      <c:valAx>
        <c:axId val="23008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5582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14</xdr:col>
      <xdr:colOff>151920</xdr:colOff>
      <xdr:row>19</xdr:row>
      <xdr:rowOff>84600</xdr:rowOff>
    </xdr:to>
    <xdr:graphicFrame>
      <xdr:nvGraphicFramePr>
        <xdr:cNvPr id="1" name="Chart 1"/>
        <xdr:cNvGraphicFramePr/>
      </xdr:nvGraphicFramePr>
      <xdr:xfrm>
        <a:off x="5586840" y="380880"/>
        <a:ext cx="7556040" cy="356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142200</xdr:rowOff>
    </xdr:from>
    <xdr:to>
      <xdr:col>14</xdr:col>
      <xdr:colOff>151920</xdr:colOff>
      <xdr:row>36</xdr:row>
      <xdr:rowOff>84600</xdr:rowOff>
    </xdr:to>
    <xdr:graphicFrame>
      <xdr:nvGraphicFramePr>
        <xdr:cNvPr id="2" name="Chart 2"/>
        <xdr:cNvGraphicFramePr/>
      </xdr:nvGraphicFramePr>
      <xdr:xfrm>
        <a:off x="5586840" y="3619440"/>
        <a:ext cx="7556040" cy="356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140625" defaultRowHeight="15" customHeight="true" zeroHeight="false" outlineLevelRow="0" outlineLevelCol="0"/>
  <cols>
    <col collapsed="false" customWidth="true" hidden="false" outlineLevel="0" max="2" min="1" style="0" width="16.72"/>
    <col collapsed="false" customWidth="true" hidden="false" outlineLevel="0" max="3" min="3" style="1" width="14.71"/>
    <col collapsed="false" customWidth="true" hidden="false" outlineLevel="0" max="5" min="4" style="0" width="16.7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45922</v>
      </c>
      <c r="B2" s="0" t="s">
        <v>5</v>
      </c>
      <c r="C2" s="1" t="n">
        <v>700</v>
      </c>
      <c r="D2" s="0" t="n">
        <v>2</v>
      </c>
      <c r="E2" s="0" t="s">
        <v>6</v>
      </c>
    </row>
    <row r="3" customFormat="false" ht="15" hidden="false" customHeight="false" outlineLevel="0" collapsed="false">
      <c r="A3" s="3" t="n">
        <v>45926</v>
      </c>
      <c r="B3" s="0" t="s">
        <v>7</v>
      </c>
      <c r="C3" s="1" t="n">
        <v>3800</v>
      </c>
      <c r="D3" s="0" t="n">
        <v>2</v>
      </c>
      <c r="E3" s="0" t="s">
        <v>6</v>
      </c>
    </row>
    <row r="4" customFormat="false" ht="15" hidden="false" customHeight="false" outlineLevel="0" collapsed="false">
      <c r="A4" s="3" t="n">
        <v>45940</v>
      </c>
      <c r="B4" s="0" t="s">
        <v>7</v>
      </c>
      <c r="C4" s="1" t="n">
        <v>3800</v>
      </c>
      <c r="D4" s="0" t="n">
        <v>1</v>
      </c>
      <c r="E4" s="0" t="s">
        <v>8</v>
      </c>
    </row>
    <row r="5" customFormat="false" ht="15" hidden="false" customHeight="false" outlineLevel="0" collapsed="false">
      <c r="A5" s="3" t="n">
        <v>45954</v>
      </c>
      <c r="B5" s="0" t="s">
        <v>7</v>
      </c>
      <c r="C5" s="1" t="n">
        <v>3800</v>
      </c>
      <c r="D5" s="0" t="n">
        <v>2</v>
      </c>
      <c r="E5" s="0" t="s">
        <v>8</v>
      </c>
    </row>
    <row r="6" customFormat="false" ht="15" hidden="false" customHeight="false" outlineLevel="0" collapsed="false">
      <c r="A6" s="3" t="n">
        <v>45955</v>
      </c>
      <c r="B6" s="0" t="s">
        <v>7</v>
      </c>
      <c r="C6" s="1" t="n">
        <v>3800</v>
      </c>
      <c r="D6" s="0" t="n">
        <v>2</v>
      </c>
      <c r="E6" s="0" t="s">
        <v>8</v>
      </c>
    </row>
    <row r="7" customFormat="false" ht="15" hidden="false" customHeight="false" outlineLevel="0" collapsed="false">
      <c r="B7" s="0" t="s">
        <v>7</v>
      </c>
      <c r="C7" s="1" t="n">
        <v>0</v>
      </c>
      <c r="D7" s="0" t="n">
        <v>2</v>
      </c>
      <c r="E7" s="0" t="s">
        <v>9</v>
      </c>
    </row>
    <row r="8" customFormat="false" ht="15" hidden="false" customHeight="false" outlineLevel="0" collapsed="false">
      <c r="B8" s="0" t="s">
        <v>7</v>
      </c>
      <c r="C8" s="1" t="n">
        <v>0</v>
      </c>
      <c r="D8" s="0" t="n">
        <v>2</v>
      </c>
      <c r="E8" s="0" t="s">
        <v>9</v>
      </c>
    </row>
    <row r="9" customFormat="false" ht="15" hidden="false" customHeight="false" outlineLevel="0" collapsed="false">
      <c r="B9" s="0" t="s">
        <v>7</v>
      </c>
      <c r="C9" s="1" t="n">
        <v>0</v>
      </c>
      <c r="D9" s="0" t="n">
        <v>2</v>
      </c>
      <c r="E9" s="0" t="s">
        <v>9</v>
      </c>
    </row>
    <row r="10" customFormat="false" ht="15" hidden="false" customHeight="false" outlineLevel="0" collapsed="false">
      <c r="B10" s="0" t="s">
        <v>7</v>
      </c>
      <c r="C10" s="1" t="n">
        <v>0</v>
      </c>
      <c r="D10" s="0" t="n">
        <v>2</v>
      </c>
      <c r="E10" s="0" t="s">
        <v>9</v>
      </c>
    </row>
    <row r="11" customFormat="false" ht="15" hidden="false" customHeight="false" outlineLevel="0" collapsed="false">
      <c r="B11" s="0" t="s">
        <v>7</v>
      </c>
      <c r="C11" s="1" t="n">
        <v>0</v>
      </c>
      <c r="D11" s="0" t="n">
        <v>2</v>
      </c>
      <c r="E11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6" activeCellId="0" sqref="A56"/>
    </sheetView>
  </sheetViews>
  <sheetFormatPr defaultColWidth="8.69140625" defaultRowHeight="15" customHeight="true" zeroHeight="false" outlineLevelRow="0" outlineLevelCol="0"/>
  <cols>
    <col collapsed="false" customWidth="true" hidden="false" outlineLevel="0" max="2" min="1" style="0" width="16.72"/>
    <col collapsed="false" customWidth="true" hidden="false" outlineLevel="0" max="3" min="3" style="1" width="14.71"/>
    <col collapsed="false" customWidth="true" hidden="false" outlineLevel="0" max="6" min="4" style="0" width="16.72"/>
    <col collapsed="false" customWidth="true" hidden="false" outlineLevel="0" max="9" min="7" style="1" width="14.71"/>
    <col collapsed="false" customWidth="true" hidden="false" outlineLevel="0" max="10" min="10" style="0" width="16.72"/>
  </cols>
  <sheetData>
    <row r="1" customFormat="false" ht="15" hidden="false" customHeight="false" outlineLevel="0" collapsed="false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4</v>
      </c>
    </row>
    <row r="2" customFormat="false" ht="15" hidden="false" customHeight="false" outlineLevel="0" collapsed="false">
      <c r="A2" s="3" t="n">
        <v>45903</v>
      </c>
      <c r="B2" s="0" t="s">
        <v>17</v>
      </c>
      <c r="C2" s="1" t="n">
        <v>1200</v>
      </c>
      <c r="D2" s="0" t="s">
        <v>18</v>
      </c>
      <c r="E2" s="0" t="s">
        <v>19</v>
      </c>
      <c r="F2" s="0" t="s">
        <v>20</v>
      </c>
      <c r="G2" s="1" t="n">
        <v>0</v>
      </c>
      <c r="H2" s="1" t="n">
        <v>1200</v>
      </c>
      <c r="I2" s="1" t="s">
        <v>6</v>
      </c>
    </row>
    <row r="3" customFormat="false" ht="15" hidden="false" customHeight="false" outlineLevel="0" collapsed="false">
      <c r="A3" s="3" t="n">
        <v>45922</v>
      </c>
      <c r="B3" s="0" t="s">
        <v>21</v>
      </c>
      <c r="C3" s="1" t="n">
        <v>96.19</v>
      </c>
      <c r="D3" s="0" t="s">
        <v>18</v>
      </c>
      <c r="F3" s="0" t="s">
        <v>22</v>
      </c>
      <c r="G3" s="1" t="n">
        <v>96.19</v>
      </c>
      <c r="H3" s="1" t="n">
        <v>0</v>
      </c>
      <c r="I3" s="1" t="s">
        <v>6</v>
      </c>
    </row>
    <row r="4" customFormat="false" ht="15" hidden="false" customHeight="false" outlineLevel="0" collapsed="false">
      <c r="A4" s="3" t="n">
        <v>45925</v>
      </c>
      <c r="B4" s="0" t="s">
        <v>21</v>
      </c>
      <c r="C4" s="1" t="n">
        <v>181.75</v>
      </c>
      <c r="D4" s="0" t="s">
        <v>18</v>
      </c>
      <c r="F4" s="0" t="s">
        <v>22</v>
      </c>
      <c r="G4" s="1" t="n">
        <v>181.75</v>
      </c>
      <c r="H4" s="1" t="n">
        <v>0</v>
      </c>
      <c r="I4" s="1" t="s">
        <v>6</v>
      </c>
    </row>
    <row r="5" customFormat="false" ht="15" hidden="false" customHeight="false" outlineLevel="0" collapsed="false">
      <c r="A5" s="3" t="n">
        <v>45926</v>
      </c>
      <c r="B5" s="0" t="s">
        <v>23</v>
      </c>
      <c r="C5" s="1" t="n">
        <v>547.9</v>
      </c>
      <c r="D5" s="0" t="s">
        <v>18</v>
      </c>
      <c r="E5" s="0" t="s">
        <v>19</v>
      </c>
      <c r="F5" s="0" t="s">
        <v>22</v>
      </c>
      <c r="G5" s="1" t="n">
        <v>547.9</v>
      </c>
      <c r="H5" s="1" t="n">
        <v>0</v>
      </c>
      <c r="I5" s="1" t="s">
        <v>6</v>
      </c>
    </row>
    <row r="6" customFormat="false" ht="15" hidden="false" customHeight="false" outlineLevel="0" collapsed="false">
      <c r="A6" s="3" t="n">
        <v>45926</v>
      </c>
      <c r="B6" s="0" t="s">
        <v>24</v>
      </c>
      <c r="C6" s="1" t="n">
        <v>40</v>
      </c>
      <c r="D6" s="0" t="s">
        <v>25</v>
      </c>
      <c r="E6" s="0" t="s">
        <v>26</v>
      </c>
      <c r="F6" s="0" t="s">
        <v>22</v>
      </c>
      <c r="G6" s="1" t="n">
        <v>40</v>
      </c>
      <c r="H6" s="1" t="n">
        <v>0</v>
      </c>
      <c r="I6" s="1" t="s">
        <v>6</v>
      </c>
    </row>
    <row r="7" customFormat="false" ht="15" hidden="false" customHeight="false" outlineLevel="0" collapsed="false">
      <c r="A7" s="3" t="n">
        <v>45926</v>
      </c>
      <c r="B7" s="0" t="s">
        <v>27</v>
      </c>
      <c r="C7" s="1" t="n">
        <v>89</v>
      </c>
      <c r="D7" s="0" t="s">
        <v>25</v>
      </c>
      <c r="E7" s="0" t="s">
        <v>19</v>
      </c>
      <c r="F7" s="0" t="s">
        <v>20</v>
      </c>
      <c r="G7" s="1" t="n">
        <v>0</v>
      </c>
      <c r="H7" s="1" t="n">
        <v>89</v>
      </c>
      <c r="I7" s="1" t="s">
        <v>6</v>
      </c>
    </row>
    <row r="8" customFormat="false" ht="15" hidden="false" customHeight="false" outlineLevel="0" collapsed="false">
      <c r="A8" s="3" t="n">
        <v>45926</v>
      </c>
      <c r="B8" s="0" t="s">
        <v>28</v>
      </c>
      <c r="C8" s="1" t="n">
        <v>142</v>
      </c>
      <c r="D8" s="0" t="s">
        <v>18</v>
      </c>
      <c r="F8" s="0" t="s">
        <v>22</v>
      </c>
      <c r="G8" s="1" t="n">
        <v>142</v>
      </c>
      <c r="H8" s="1" t="n">
        <v>0</v>
      </c>
      <c r="I8" s="1" t="s">
        <v>6</v>
      </c>
    </row>
    <row r="9" customFormat="false" ht="15" hidden="false" customHeight="false" outlineLevel="0" collapsed="false">
      <c r="A9" s="3" t="n">
        <v>45930</v>
      </c>
      <c r="B9" s="0" t="s">
        <v>21</v>
      </c>
      <c r="C9" s="1" t="n">
        <v>86.09</v>
      </c>
      <c r="D9" s="0" t="s">
        <v>18</v>
      </c>
      <c r="E9" s="0" t="s">
        <v>19</v>
      </c>
      <c r="F9" s="0" t="s">
        <v>20</v>
      </c>
      <c r="G9" s="1" t="n">
        <v>0</v>
      </c>
      <c r="H9" s="1" t="n">
        <v>86.09</v>
      </c>
      <c r="I9" s="1" t="s">
        <v>6</v>
      </c>
    </row>
    <row r="10" customFormat="false" ht="15" hidden="false" customHeight="false" outlineLevel="0" collapsed="false">
      <c r="A10" s="3" t="n">
        <v>45930</v>
      </c>
      <c r="B10" s="0" t="s">
        <v>29</v>
      </c>
      <c r="C10" s="1" t="n">
        <v>151</v>
      </c>
      <c r="D10" s="0" t="s">
        <v>30</v>
      </c>
      <c r="E10" s="0" t="s">
        <v>19</v>
      </c>
      <c r="F10" s="0" t="s">
        <v>22</v>
      </c>
      <c r="G10" s="1" t="n">
        <v>151</v>
      </c>
      <c r="H10" s="1" t="n">
        <v>0</v>
      </c>
      <c r="I10" s="1" t="s">
        <v>6</v>
      </c>
    </row>
    <row r="11" customFormat="false" ht="15" hidden="false" customHeight="false" outlineLevel="0" collapsed="false">
      <c r="A11" s="3" t="n">
        <v>45930</v>
      </c>
      <c r="B11" s="0" t="s">
        <v>31</v>
      </c>
      <c r="C11" s="1" t="n">
        <v>359</v>
      </c>
      <c r="D11" s="0" t="s">
        <v>18</v>
      </c>
      <c r="E11" s="0" t="s">
        <v>19</v>
      </c>
      <c r="F11" s="0" t="s">
        <v>22</v>
      </c>
      <c r="G11" s="1" t="n">
        <v>359</v>
      </c>
      <c r="H11" s="1" t="n">
        <v>0</v>
      </c>
      <c r="I11" s="1" t="s">
        <v>6</v>
      </c>
    </row>
    <row r="12" customFormat="false" ht="15" hidden="false" customHeight="false" outlineLevel="0" collapsed="false">
      <c r="A12" s="3" t="n">
        <v>45930</v>
      </c>
      <c r="B12" s="0" t="s">
        <v>32</v>
      </c>
      <c r="C12" s="1" t="n">
        <v>179.66</v>
      </c>
      <c r="D12" s="0" t="s">
        <v>30</v>
      </c>
      <c r="E12" s="0" t="s">
        <v>19</v>
      </c>
      <c r="F12" s="0" t="s">
        <v>22</v>
      </c>
      <c r="G12" s="1" t="n">
        <v>179.66</v>
      </c>
      <c r="H12" s="1" t="n">
        <v>0</v>
      </c>
      <c r="I12" s="1" t="s">
        <v>6</v>
      </c>
    </row>
    <row r="13" customFormat="false" ht="15" hidden="false" customHeight="false" outlineLevel="0" collapsed="false">
      <c r="A13" s="3" t="n">
        <v>45930</v>
      </c>
      <c r="B13" s="0" t="s">
        <v>33</v>
      </c>
      <c r="C13" s="1" t="n">
        <v>150.75</v>
      </c>
      <c r="D13" s="0" t="s">
        <v>18</v>
      </c>
      <c r="E13" s="0" t="s">
        <v>19</v>
      </c>
      <c r="F13" s="0" t="s">
        <v>22</v>
      </c>
      <c r="G13" s="1" t="n">
        <v>150.75</v>
      </c>
      <c r="H13" s="1" t="n">
        <v>0</v>
      </c>
      <c r="I13" s="1" t="s">
        <v>6</v>
      </c>
    </row>
    <row r="14" customFormat="false" ht="15" hidden="false" customHeight="false" outlineLevel="0" collapsed="false">
      <c r="A14" s="3" t="n">
        <v>45931</v>
      </c>
      <c r="B14" s="0" t="s">
        <v>34</v>
      </c>
      <c r="C14" s="1" t="n">
        <v>2052.09</v>
      </c>
      <c r="D14" s="0" t="s">
        <v>18</v>
      </c>
      <c r="E14" s="0" t="s">
        <v>19</v>
      </c>
      <c r="F14" s="0" t="s">
        <v>22</v>
      </c>
      <c r="G14" s="1" t="n">
        <v>2052.09</v>
      </c>
      <c r="H14" s="1" t="n">
        <v>0</v>
      </c>
      <c r="I14" s="1" t="s">
        <v>8</v>
      </c>
    </row>
    <row r="15" customFormat="false" ht="15" hidden="false" customHeight="false" outlineLevel="0" collapsed="false">
      <c r="A15" s="3" t="n">
        <v>45931</v>
      </c>
      <c r="B15" s="0" t="s">
        <v>35</v>
      </c>
      <c r="C15" s="1" t="n">
        <v>2004</v>
      </c>
      <c r="D15" s="0" t="s">
        <v>18</v>
      </c>
      <c r="F15" s="0" t="s">
        <v>22</v>
      </c>
      <c r="G15" s="1" t="n">
        <v>2004</v>
      </c>
      <c r="H15" s="1" t="n">
        <v>0</v>
      </c>
      <c r="I15" s="1" t="s">
        <v>8</v>
      </c>
    </row>
    <row r="16" customFormat="false" ht="15" hidden="false" customHeight="false" outlineLevel="0" collapsed="false">
      <c r="A16" s="3" t="n">
        <v>45935</v>
      </c>
      <c r="B16" s="0" t="s">
        <v>36</v>
      </c>
      <c r="C16" s="1" t="n">
        <v>312</v>
      </c>
      <c r="D16" s="0" t="s">
        <v>18</v>
      </c>
      <c r="E16" s="0" t="s">
        <v>19</v>
      </c>
      <c r="F16" s="0" t="s">
        <v>22</v>
      </c>
      <c r="G16" s="1" t="n">
        <v>312</v>
      </c>
      <c r="H16" s="1" t="n">
        <v>0</v>
      </c>
      <c r="I16" s="1" t="s">
        <v>8</v>
      </c>
    </row>
    <row r="17" customFormat="false" ht="15" hidden="false" customHeight="false" outlineLevel="0" collapsed="false">
      <c r="A17" s="3" t="n">
        <v>45940</v>
      </c>
      <c r="B17" s="0" t="s">
        <v>37</v>
      </c>
      <c r="C17" s="1" t="n">
        <v>0</v>
      </c>
      <c r="D17" s="0" t="s">
        <v>38</v>
      </c>
      <c r="F17" s="0" t="s">
        <v>22</v>
      </c>
      <c r="G17" s="1" t="n">
        <v>0</v>
      </c>
      <c r="H17" s="1" t="n">
        <v>0</v>
      </c>
      <c r="I17" s="1" t="s">
        <v>8</v>
      </c>
    </row>
    <row r="18" customFormat="false" ht="15" hidden="false" customHeight="false" outlineLevel="0" collapsed="false">
      <c r="A18" s="3" t="n">
        <v>45940</v>
      </c>
      <c r="B18" s="0" t="s">
        <v>21</v>
      </c>
      <c r="C18" s="1" t="n">
        <v>181.75</v>
      </c>
      <c r="D18" s="0" t="s">
        <v>39</v>
      </c>
      <c r="E18" s="0" t="s">
        <v>19</v>
      </c>
      <c r="F18" s="0" t="s">
        <v>20</v>
      </c>
      <c r="G18" s="1" t="n">
        <v>0</v>
      </c>
      <c r="H18" s="1" t="n">
        <v>181.75</v>
      </c>
      <c r="I18" s="1" t="s">
        <v>8</v>
      </c>
    </row>
    <row r="19" customFormat="false" ht="15" hidden="false" customHeight="false" outlineLevel="0" collapsed="false">
      <c r="A19" s="3" t="n">
        <v>45940</v>
      </c>
      <c r="B19" s="0" t="s">
        <v>29</v>
      </c>
      <c r="C19" s="1" t="n">
        <v>180</v>
      </c>
      <c r="D19" s="0" t="s">
        <v>39</v>
      </c>
      <c r="F19" s="0" t="s">
        <v>22</v>
      </c>
      <c r="G19" s="1" t="n">
        <v>180</v>
      </c>
      <c r="H19" s="1" t="n">
        <v>0</v>
      </c>
      <c r="I19" s="1" t="s">
        <v>8</v>
      </c>
    </row>
    <row r="20" customFormat="false" ht="15" hidden="false" customHeight="false" outlineLevel="0" collapsed="false">
      <c r="A20" s="3" t="n">
        <v>45940</v>
      </c>
      <c r="B20" s="0" t="s">
        <v>40</v>
      </c>
      <c r="C20" s="1" t="n">
        <v>200</v>
      </c>
      <c r="D20" s="0" t="s">
        <v>18</v>
      </c>
      <c r="E20" s="0" t="s">
        <v>19</v>
      </c>
      <c r="F20" s="0" t="s">
        <v>22</v>
      </c>
      <c r="G20" s="1" t="n">
        <v>200</v>
      </c>
      <c r="H20" s="1" t="n">
        <v>0</v>
      </c>
      <c r="I20" s="1" t="s">
        <v>8</v>
      </c>
    </row>
    <row r="21" customFormat="false" ht="15" hidden="false" customHeight="false" outlineLevel="0" collapsed="false">
      <c r="A21" s="3" t="n">
        <v>45940</v>
      </c>
      <c r="B21" s="0" t="s">
        <v>40</v>
      </c>
      <c r="C21" s="1" t="n">
        <v>200</v>
      </c>
      <c r="D21" s="0" t="s">
        <v>25</v>
      </c>
      <c r="F21" s="0" t="s">
        <v>22</v>
      </c>
      <c r="G21" s="1" t="n">
        <v>200</v>
      </c>
      <c r="H21" s="1" t="n">
        <v>0</v>
      </c>
      <c r="I21" s="1" t="s">
        <v>8</v>
      </c>
    </row>
    <row r="22" customFormat="false" ht="15" hidden="false" customHeight="false" outlineLevel="0" collapsed="false">
      <c r="A22" s="3" t="n">
        <v>45940</v>
      </c>
      <c r="B22" s="0" t="s">
        <v>41</v>
      </c>
      <c r="C22" s="1" t="n">
        <v>50.12</v>
      </c>
      <c r="D22" s="0" t="s">
        <v>18</v>
      </c>
      <c r="E22" s="0" t="s">
        <v>19</v>
      </c>
      <c r="F22" s="0" t="s">
        <v>22</v>
      </c>
      <c r="G22" s="1" t="n">
        <v>50.12</v>
      </c>
      <c r="H22" s="1" t="n">
        <v>0</v>
      </c>
      <c r="I22" s="1" t="s">
        <v>8</v>
      </c>
    </row>
    <row r="23" customFormat="false" ht="15" hidden="false" customHeight="false" outlineLevel="0" collapsed="false">
      <c r="A23" s="3" t="n">
        <v>45940</v>
      </c>
      <c r="B23" s="0" t="s">
        <v>42</v>
      </c>
      <c r="C23" s="1" t="n">
        <v>72</v>
      </c>
      <c r="D23" s="0" t="s">
        <v>30</v>
      </c>
      <c r="F23" s="0" t="s">
        <v>22</v>
      </c>
      <c r="G23" s="1" t="n">
        <v>72</v>
      </c>
      <c r="H23" s="1" t="n">
        <v>0</v>
      </c>
      <c r="I23" s="1" t="s">
        <v>8</v>
      </c>
    </row>
    <row r="24" customFormat="false" ht="15" hidden="false" customHeight="false" outlineLevel="0" collapsed="false">
      <c r="A24" s="3" t="n">
        <v>45940</v>
      </c>
      <c r="B24" s="0" t="s">
        <v>24</v>
      </c>
      <c r="C24" s="1" t="n">
        <v>50</v>
      </c>
      <c r="D24" s="0" t="s">
        <v>39</v>
      </c>
      <c r="F24" s="0" t="s">
        <v>22</v>
      </c>
      <c r="G24" s="1" t="n">
        <v>50</v>
      </c>
      <c r="H24" s="1" t="n">
        <v>0</v>
      </c>
      <c r="I24" s="1" t="s">
        <v>8</v>
      </c>
    </row>
    <row r="25" customFormat="false" ht="15" hidden="false" customHeight="false" outlineLevel="0" collapsed="false">
      <c r="A25" s="3" t="n">
        <v>45940</v>
      </c>
      <c r="B25" s="0" t="s">
        <v>31</v>
      </c>
      <c r="C25" s="1" t="n">
        <v>359</v>
      </c>
      <c r="D25" s="0" t="s">
        <v>18</v>
      </c>
      <c r="E25" s="0" t="s">
        <v>43</v>
      </c>
      <c r="F25" s="0" t="s">
        <v>22</v>
      </c>
      <c r="G25" s="1" t="n">
        <v>359</v>
      </c>
      <c r="H25" s="1" t="n">
        <v>0</v>
      </c>
      <c r="I25" s="1" t="s">
        <v>8</v>
      </c>
    </row>
    <row r="26" customFormat="false" ht="15" hidden="false" customHeight="false" outlineLevel="0" collapsed="false">
      <c r="A26" s="3" t="n">
        <v>45940</v>
      </c>
      <c r="B26" s="0" t="s">
        <v>31</v>
      </c>
      <c r="C26" s="1" t="n">
        <v>359</v>
      </c>
      <c r="D26" s="0" t="s">
        <v>39</v>
      </c>
      <c r="F26" s="0" t="s">
        <v>22</v>
      </c>
      <c r="G26" s="1" t="n">
        <v>359</v>
      </c>
      <c r="H26" s="1" t="n">
        <v>0</v>
      </c>
      <c r="I26" s="1" t="s">
        <v>8</v>
      </c>
    </row>
    <row r="27" customFormat="false" ht="15" hidden="false" customHeight="false" outlineLevel="0" collapsed="false">
      <c r="A27" s="3" t="n">
        <v>45940</v>
      </c>
      <c r="B27" s="0" t="s">
        <v>44</v>
      </c>
      <c r="C27" s="1" t="n">
        <v>308</v>
      </c>
      <c r="D27" s="0" t="s">
        <v>18</v>
      </c>
      <c r="F27" s="0" t="s">
        <v>22</v>
      </c>
      <c r="G27" s="1" t="n">
        <v>308</v>
      </c>
      <c r="H27" s="1" t="n">
        <v>0</v>
      </c>
      <c r="I27" s="1" t="s">
        <v>8</v>
      </c>
    </row>
    <row r="28" customFormat="false" ht="15" hidden="false" customHeight="false" outlineLevel="0" collapsed="false">
      <c r="A28" s="3" t="n">
        <v>45940</v>
      </c>
      <c r="B28" s="0" t="s">
        <v>32</v>
      </c>
      <c r="C28" s="1" t="n">
        <v>179</v>
      </c>
      <c r="D28" s="0" t="s">
        <v>39</v>
      </c>
      <c r="F28" s="0" t="s">
        <v>22</v>
      </c>
      <c r="G28" s="1" t="n">
        <v>179</v>
      </c>
      <c r="H28" s="1" t="n">
        <v>0</v>
      </c>
      <c r="I28" s="1" t="s">
        <v>8</v>
      </c>
    </row>
    <row r="29" customFormat="false" ht="15" hidden="false" customHeight="false" outlineLevel="0" collapsed="false">
      <c r="A29" s="3" t="n">
        <v>45940</v>
      </c>
      <c r="B29" s="0" t="s">
        <v>45</v>
      </c>
      <c r="C29" s="1" t="n">
        <v>36.46</v>
      </c>
      <c r="D29" s="0" t="s">
        <v>18</v>
      </c>
      <c r="F29" s="0" t="s">
        <v>22</v>
      </c>
      <c r="G29" s="1" t="n">
        <v>36.46</v>
      </c>
      <c r="H29" s="1" t="n">
        <v>0</v>
      </c>
      <c r="I29" s="1" t="s">
        <v>8</v>
      </c>
    </row>
    <row r="30" customFormat="false" ht="15" hidden="false" customHeight="false" outlineLevel="0" collapsed="false">
      <c r="A30" s="3" t="n">
        <v>45940</v>
      </c>
      <c r="B30" s="0" t="s">
        <v>45</v>
      </c>
      <c r="C30" s="1" t="n">
        <v>86.09</v>
      </c>
      <c r="D30" s="0" t="s">
        <v>18</v>
      </c>
      <c r="F30" s="0" t="s">
        <v>22</v>
      </c>
      <c r="G30" s="1" t="n">
        <v>86.09</v>
      </c>
      <c r="H30" s="1" t="n">
        <v>0</v>
      </c>
      <c r="I30" s="1" t="s">
        <v>8</v>
      </c>
    </row>
    <row r="31" customFormat="false" ht="15" hidden="false" customHeight="false" outlineLevel="0" collapsed="false">
      <c r="A31" s="3" t="n">
        <v>45940</v>
      </c>
      <c r="B31" s="0" t="s">
        <v>46</v>
      </c>
      <c r="C31" s="1" t="n">
        <v>150</v>
      </c>
      <c r="D31" s="0" t="s">
        <v>18</v>
      </c>
      <c r="F31" s="0" t="s">
        <v>22</v>
      </c>
      <c r="G31" s="1" t="n">
        <v>150</v>
      </c>
      <c r="H31" s="1" t="n">
        <v>0</v>
      </c>
      <c r="I31" s="1" t="s">
        <v>8</v>
      </c>
    </row>
    <row r="32" customFormat="false" ht="15" hidden="false" customHeight="false" outlineLevel="0" collapsed="false">
      <c r="A32" s="3" t="n">
        <v>45947</v>
      </c>
      <c r="B32" s="0" t="s">
        <v>47</v>
      </c>
      <c r="C32" s="1" t="n">
        <v>303</v>
      </c>
      <c r="D32" s="0" t="s">
        <v>25</v>
      </c>
      <c r="F32" s="0" t="s">
        <v>22</v>
      </c>
      <c r="G32" s="1" t="n">
        <v>303</v>
      </c>
      <c r="H32" s="1" t="n">
        <v>0</v>
      </c>
      <c r="I32" s="1" t="s">
        <v>8</v>
      </c>
    </row>
    <row r="33" customFormat="false" ht="15" hidden="false" customHeight="false" outlineLevel="0" collapsed="false">
      <c r="A33" s="3" t="n">
        <v>45954</v>
      </c>
      <c r="B33" s="0" t="s">
        <v>21</v>
      </c>
      <c r="C33" s="1" t="n">
        <v>55.57</v>
      </c>
      <c r="D33" s="0" t="s">
        <v>39</v>
      </c>
      <c r="E33" s="0" t="s">
        <v>19</v>
      </c>
      <c r="F33" s="0" t="s">
        <v>20</v>
      </c>
      <c r="G33" s="1" t="n">
        <v>0</v>
      </c>
      <c r="H33" s="1" t="n">
        <v>55.57</v>
      </c>
      <c r="I33" s="1" t="s">
        <v>8</v>
      </c>
    </row>
    <row r="34" customFormat="false" ht="15" hidden="false" customHeight="false" outlineLevel="0" collapsed="false">
      <c r="A34" s="3" t="n">
        <v>45954</v>
      </c>
      <c r="B34" s="0" t="s">
        <v>48</v>
      </c>
      <c r="C34" s="1" t="n">
        <v>0</v>
      </c>
      <c r="D34" s="0" t="s">
        <v>30</v>
      </c>
      <c r="E34" s="0" t="s">
        <v>19</v>
      </c>
      <c r="F34" s="0" t="s">
        <v>20</v>
      </c>
      <c r="G34" s="1" t="n">
        <v>0</v>
      </c>
      <c r="H34" s="1" t="n">
        <v>0</v>
      </c>
      <c r="I34" s="1" t="s">
        <v>8</v>
      </c>
    </row>
    <row r="35" customFormat="false" ht="15" hidden="false" customHeight="false" outlineLevel="0" collapsed="false">
      <c r="A35" s="3" t="n">
        <v>45954</v>
      </c>
      <c r="B35" s="0" t="s">
        <v>49</v>
      </c>
      <c r="C35" s="1" t="n">
        <v>0</v>
      </c>
      <c r="D35" s="0" t="s">
        <v>30</v>
      </c>
      <c r="E35" s="0" t="s">
        <v>19</v>
      </c>
      <c r="F35" s="0" t="s">
        <v>20</v>
      </c>
      <c r="G35" s="1" t="n">
        <v>0</v>
      </c>
      <c r="H35" s="1" t="n">
        <v>0</v>
      </c>
      <c r="I35" s="1" t="s">
        <v>8</v>
      </c>
    </row>
    <row r="36" customFormat="false" ht="15" hidden="false" customHeight="false" outlineLevel="0" collapsed="false">
      <c r="A36" s="3" t="n">
        <v>45954</v>
      </c>
      <c r="B36" s="0" t="s">
        <v>35</v>
      </c>
      <c r="C36" s="1" t="n">
        <v>603</v>
      </c>
      <c r="D36" s="0" t="s">
        <v>25</v>
      </c>
      <c r="E36" s="0" t="s">
        <v>19</v>
      </c>
      <c r="F36" s="0" t="s">
        <v>20</v>
      </c>
      <c r="G36" s="1" t="n">
        <v>0</v>
      </c>
      <c r="H36" s="1" t="n">
        <v>603</v>
      </c>
      <c r="I36" s="1" t="s">
        <v>8</v>
      </c>
    </row>
    <row r="37" customFormat="false" ht="15" hidden="false" customHeight="false" outlineLevel="0" collapsed="false">
      <c r="A37" s="3" t="n">
        <v>45954</v>
      </c>
      <c r="B37" s="0" t="s">
        <v>50</v>
      </c>
      <c r="C37" s="1" t="n">
        <v>1200</v>
      </c>
      <c r="D37" s="0" t="s">
        <v>39</v>
      </c>
      <c r="E37" s="0" t="s">
        <v>19</v>
      </c>
      <c r="F37" s="0" t="s">
        <v>20</v>
      </c>
      <c r="G37" s="1" t="n">
        <v>0</v>
      </c>
      <c r="H37" s="1" t="n">
        <v>1200</v>
      </c>
      <c r="I37" s="1" t="s">
        <v>8</v>
      </c>
    </row>
    <row r="38" customFormat="false" ht="15" hidden="false" customHeight="false" outlineLevel="0" collapsed="false">
      <c r="A38" s="3" t="n">
        <v>45955</v>
      </c>
      <c r="B38" s="0" t="s">
        <v>21</v>
      </c>
      <c r="C38" s="1" t="n">
        <v>36.46</v>
      </c>
      <c r="D38" s="0" t="s">
        <v>39</v>
      </c>
      <c r="E38" s="0" t="s">
        <v>19</v>
      </c>
      <c r="F38" s="0" t="s">
        <v>20</v>
      </c>
      <c r="G38" s="1" t="n">
        <v>0</v>
      </c>
      <c r="H38" s="1" t="n">
        <v>36.46</v>
      </c>
      <c r="I38" s="1" t="s">
        <v>8</v>
      </c>
    </row>
    <row r="39" customFormat="false" ht="15" hidden="false" customHeight="false" outlineLevel="0" collapsed="false">
      <c r="A39" s="3" t="n">
        <v>45955</v>
      </c>
      <c r="B39" s="0" t="s">
        <v>51</v>
      </c>
      <c r="C39" s="1" t="n">
        <v>547.9</v>
      </c>
      <c r="D39" s="0" t="s">
        <v>25</v>
      </c>
      <c r="E39" s="0" t="s">
        <v>19</v>
      </c>
      <c r="F39" s="0" t="s">
        <v>20</v>
      </c>
      <c r="G39" s="1" t="n">
        <v>0</v>
      </c>
      <c r="H39" s="1" t="n">
        <v>547.9</v>
      </c>
      <c r="I39" s="1" t="s">
        <v>8</v>
      </c>
    </row>
    <row r="40" customFormat="false" ht="15" hidden="false" customHeight="false" outlineLevel="0" collapsed="false">
      <c r="A40" s="3" t="n">
        <v>45956</v>
      </c>
      <c r="B40" s="0" t="s">
        <v>21</v>
      </c>
      <c r="C40" s="1" t="n">
        <v>86.09</v>
      </c>
      <c r="D40" s="0" t="s">
        <v>39</v>
      </c>
      <c r="E40" s="0" t="s">
        <v>19</v>
      </c>
      <c r="F40" s="0" t="s">
        <v>20</v>
      </c>
      <c r="G40" s="1" t="n">
        <v>0</v>
      </c>
      <c r="H40" s="1" t="n">
        <v>86.09</v>
      </c>
      <c r="I40" s="1" t="s">
        <v>8</v>
      </c>
    </row>
    <row r="41" customFormat="false" ht="15" hidden="false" customHeight="false" outlineLevel="0" collapsed="false">
      <c r="A41" s="3" t="n">
        <v>45956</v>
      </c>
      <c r="B41" s="0" t="s">
        <v>35</v>
      </c>
      <c r="C41" s="1" t="n">
        <v>142</v>
      </c>
      <c r="D41" s="0" t="s">
        <v>39</v>
      </c>
      <c r="E41" s="0" t="s">
        <v>19</v>
      </c>
      <c r="F41" s="0" t="s">
        <v>20</v>
      </c>
      <c r="G41" s="1" t="n">
        <v>0</v>
      </c>
      <c r="H41" s="1" t="n">
        <v>142</v>
      </c>
      <c r="I41" s="1" t="s">
        <v>8</v>
      </c>
    </row>
    <row r="42" customFormat="false" ht="15" hidden="false" customHeight="false" outlineLevel="0" collapsed="false">
      <c r="A42" s="3" t="n">
        <v>45957</v>
      </c>
      <c r="B42" s="0" t="s">
        <v>21</v>
      </c>
      <c r="C42" s="1" t="n">
        <v>96.19</v>
      </c>
      <c r="D42" s="0" t="s">
        <v>39</v>
      </c>
      <c r="E42" s="0" t="s">
        <v>19</v>
      </c>
      <c r="F42" s="0" t="s">
        <v>20</v>
      </c>
      <c r="G42" s="1" t="n">
        <v>0</v>
      </c>
      <c r="H42" s="1" t="n">
        <v>96.19</v>
      </c>
      <c r="I42" s="1" t="s">
        <v>8</v>
      </c>
    </row>
    <row r="43" customFormat="false" ht="15" hidden="false" customHeight="false" outlineLevel="0" collapsed="false">
      <c r="A43" s="3" t="n">
        <v>45962</v>
      </c>
      <c r="B43" s="0" t="s">
        <v>35</v>
      </c>
      <c r="C43" s="1" t="n">
        <v>2004</v>
      </c>
      <c r="D43" s="0" t="s">
        <v>18</v>
      </c>
      <c r="E43" s="0" t="s">
        <v>19</v>
      </c>
      <c r="F43" s="0" t="s">
        <v>20</v>
      </c>
      <c r="G43" s="1" t="n">
        <v>0</v>
      </c>
      <c r="H43" s="1" t="n">
        <v>2004</v>
      </c>
      <c r="I43" s="1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69140625" defaultRowHeight="1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7" min="2" style="1" width="18.71"/>
  </cols>
  <sheetData>
    <row r="1" customFormat="false" ht="15" hidden="false" customHeight="false" outlineLevel="0" collapsed="false">
      <c r="A1" s="2" t="s">
        <v>53</v>
      </c>
      <c r="B1" s="2" t="s">
        <v>54</v>
      </c>
      <c r="C1" s="2" t="s">
        <v>15</v>
      </c>
      <c r="D1" s="2" t="s">
        <v>16</v>
      </c>
      <c r="E1" s="2" t="s">
        <v>55</v>
      </c>
      <c r="F1" s="2" t="s">
        <v>56</v>
      </c>
      <c r="G1" s="2" t="s">
        <v>57</v>
      </c>
    </row>
    <row r="2" customFormat="false" ht="15" hidden="false" customHeight="false" outlineLevel="0" collapsed="false">
      <c r="A2" s="0" t="str">
        <f aca="false">TEXT(MIN('Budget (PRO)'!A2:A999),"mmm-yyyy")</f>
        <v>Sep-2025</v>
      </c>
      <c r="B2" s="1" t="n">
        <f aca="false">SUMPRODUCT(--(TEXT('Budget (PRO)'!A2:A999,"mmm-yyyy")=$A2),'Budget (PRO)'!C2:C999)</f>
        <v>3223.34</v>
      </c>
      <c r="C2" s="1" t="n">
        <f aca="false">SUMPRODUCT(--(TEXT('Budget (PRO)'!A2:A999,"mmm-yyyy")=$A2),--('Budget (PRO)'!F2:F999="Yes"),'Budget (PRO)'!C2:C999)</f>
        <v>1848.25</v>
      </c>
      <c r="D2" s="1" t="n">
        <f aca="false">SUMPRODUCT(--(TEXT('Budget (PRO)'!A2:A999,"mmm-yyyy")=$A2),--('Budget (PRO)'!F2:F999&lt;&gt;"Yes"),'Budget (PRO)'!C2:C999)</f>
        <v>1375.09</v>
      </c>
      <c r="E2" s="1" t="n">
        <f aca="false">C2+D2</f>
        <v>3223.34</v>
      </c>
      <c r="F2" s="1" t="n">
        <f aca="false">B2-E2</f>
        <v>0</v>
      </c>
      <c r="G2" s="1" t="n">
        <f aca="false">B2-C2</f>
        <v>1375.09</v>
      </c>
    </row>
    <row r="3" customFormat="false" ht="15" hidden="false" customHeight="false" outlineLevel="0" collapsed="false">
      <c r="A3" s="0" t="str">
        <f aca="false">TEXT(EDATE(DATEVALUE(A2),1),"mmm-yyyy")</f>
        <v>Oct-2025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9140625" defaultRowHeight="15" customHeight="true" zeroHeight="false" outlineLevelRow="0" outlineLevelCol="0"/>
  <cols>
    <col collapsed="false" customWidth="true" hidden="false" outlineLevel="0" max="1" min="1" style="0" width="36.71"/>
    <col collapsed="false" customWidth="true" hidden="false" outlineLevel="0" max="2" min="2" style="0" width="26.72"/>
  </cols>
  <sheetData>
    <row r="1" customFormat="false" ht="19.7" hidden="false" customHeight="false" outlineLevel="0" collapsed="false">
      <c r="A1" s="4" t="s">
        <v>58</v>
      </c>
    </row>
    <row r="3" customFormat="false" ht="15" hidden="false" customHeight="false" outlineLevel="0" collapsed="false">
      <c r="A3" s="5" t="s">
        <v>59</v>
      </c>
      <c r="B3" s="6" t="n">
        <v>45931</v>
      </c>
    </row>
    <row r="4" customFormat="false" ht="15" hidden="false" customHeight="false" outlineLevel="0" collapsed="false">
      <c r="A4" s="7" t="s">
        <v>60</v>
      </c>
      <c r="B4" s="0" t="str">
        <f aca="false">TEXT(B3,"mmm-yyyy")</f>
        <v>Oct-2025</v>
      </c>
    </row>
    <row r="5" customFormat="false" ht="15" hidden="false" customHeight="false" outlineLevel="0" collapsed="false">
      <c r="A5" s="5" t="s">
        <v>61</v>
      </c>
    </row>
    <row r="6" customFormat="false" ht="17.35" hidden="false" customHeight="false" outlineLevel="0" collapsed="false">
      <c r="A6" s="5" t="s">
        <v>62</v>
      </c>
      <c r="B6" s="8" t="n">
        <f aca="false">SUMPRODUCT(--(TEXT('Budget (PRO)'!$A$2:$A$999,"mmm-yyyy")=$B$4),--('Budget (PRO)'!$F$2:$F$999="Yes"))</f>
        <v>18</v>
      </c>
    </row>
    <row r="7" customFormat="false" ht="17.35" hidden="false" customHeight="false" outlineLevel="0" collapsed="false">
      <c r="A7" s="5" t="s">
        <v>63</v>
      </c>
      <c r="B7" s="9" t="n">
        <f aca="false">SUMPRODUCT(--(TEXT('Budget (PRO)'!$A$2:$A$999,"mmm-yyyy")=$B$4),--('Budget (PRO)'!$F$2:$F$999="Yes"),'Budget (PRO)'!$C$2:$C$999)</f>
        <v>6900.76</v>
      </c>
    </row>
    <row r="8" customFormat="false" ht="17.35" hidden="false" customHeight="false" outlineLevel="0" collapsed="false">
      <c r="A8" s="5" t="s">
        <v>64</v>
      </c>
      <c r="B8" s="8" t="n">
        <f aca="false">SUMPRODUCT(--(TEXT('Budget (PRO)'!$A$2:$A$999,"mmm-yyyy")=$B$4),--('Budget (PRO)'!$F$2:$F$999&lt;&gt;"Yes"))</f>
        <v>11</v>
      </c>
    </row>
    <row r="9" customFormat="false" ht="17.35" hidden="false" customHeight="false" outlineLevel="0" collapsed="false">
      <c r="A9" s="5" t="s">
        <v>65</v>
      </c>
      <c r="B9" s="9" t="n">
        <f aca="false">SUMPRODUCT(--(TEXT('Budget (PRO)'!$A$2:$A$999,"mmm-yyyy")=$B$4),--('Budget (PRO)'!$F$2:$F$999&lt;&gt;"Yes"),'Budget (PRO)'!$C$2:$C$999)</f>
        <v>2948.96</v>
      </c>
    </row>
    <row r="10" customFormat="false" ht="17.35" hidden="false" customHeight="false" outlineLevel="0" collapsed="false">
      <c r="A10" s="5" t="s">
        <v>57</v>
      </c>
      <c r="B10" s="9" t="n">
        <f aca="false">'Monthly Summary (PRO)'!G2</f>
        <v>1375.09</v>
      </c>
    </row>
    <row r="11" customFormat="false" ht="17.35" hidden="false" customHeight="false" outlineLevel="0" collapsed="false">
      <c r="A11" s="5" t="s">
        <v>66</v>
      </c>
      <c r="B11" s="9" t="n">
        <f aca="false">'Monthly Summary (PRO)'!F2</f>
        <v>0</v>
      </c>
    </row>
  </sheetData>
  <dataValidations count="1">
    <dataValidation allowBlank="true" errorStyle="stop" operator="between" showDropDown="false" showErrorMessage="true" showInputMessage="true" sqref="B3" type="list">
      <formula1>'Monthly Summary (PRO)'!$A$2:$A$4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2025-10-10T17:40:40Z</dcterms:created>
  <dc:creator>openpyxl</dc:creator>
  <dc:description/>
  <dc:language>en-US</dc:language>
  <cp:lastModifiedBy/>
  <dcterms:modified xsi:type="dcterms:W3CDTF">2025-10-12T21:58:19Z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