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Budget Tracker" sheetId="1" state="visible" r:id="rId1"/>
    <sheet xmlns:r="http://schemas.openxmlformats.org/officeDocument/2006/relationships" name="Income" sheetId="2" state="visible" r:id="rId2"/>
    <sheet xmlns:r="http://schemas.openxmlformats.org/officeDocument/2006/relationships" name="Dashboar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-d-yyyy"/>
    <numFmt numFmtId="166" formatCode="$#,##0.00"/>
  </numFmts>
  <fonts count="6">
    <font>
      <name val="Calibri"/>
      <color theme="1"/>
      <sz val="11"/>
      <scheme val="minor"/>
    </font>
    <font>
      <name val="Calibri"/>
      <b val="1"/>
      <color theme="1"/>
      <scheme val="minor"/>
    </font>
    <font>
      <name val="Calibri"/>
      <color theme="1"/>
      <sz val="11"/>
    </font>
    <font>
      <name val="Calibri"/>
      <color theme="1"/>
      <scheme val="minor"/>
    </font>
    <font>
      <b val="1"/>
      <color rgb="00FFFFFF"/>
    </font>
    <font>
      <b val="1"/>
      <color rgb="001F4E78"/>
      <sz val="16"/>
    </font>
  </fonts>
  <fills count="4">
    <fill>
      <patternFill/>
    </fill>
    <fill>
      <patternFill patternType="lightGray"/>
    </fill>
    <fill>
      <patternFill patternType="solid">
        <fgColor rgb="FFCDD9D4"/>
        <bgColor rgb="FFCDD9D4"/>
      </patternFill>
    </fill>
    <fill>
      <patternFill patternType="solid">
        <fgColor rgb="004F81BD"/>
        <bgColor rgb="004F81BD"/>
      </patternFill>
    </fill>
  </fills>
  <borders count="19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284E3F"/>
      </bottom>
    </border>
    <border>
      <left style="thin">
        <color rgb="FF284E3F"/>
      </left>
      <right style="thin">
        <color rgb="FFCDD9D4"/>
      </right>
      <top style="double">
        <color rgb="FF284E3F"/>
      </top>
      <bottom style="thin">
        <color rgb="FF284E3F"/>
      </bottom>
    </border>
    <border>
      <left style="thin">
        <color rgb="FFCDD9D4"/>
      </left>
      <right style="thin">
        <color rgb="FF284E3F"/>
      </right>
      <top style="double">
        <color rgb="FF284E3F"/>
      </top>
      <bottom style="thin">
        <color rgb="FF284E3F"/>
      </bottom>
    </border>
    <border>
      <top style="thin">
        <color rgb="FF284E3F"/>
      </top>
    </border>
    <border>
      <right style="thin">
        <color rgb="FF356854"/>
      </right>
      <top style="thin">
        <color rgb="FF284E3F"/>
      </top>
    </border>
    <border>
      <top style="thin">
        <color rgb="FF284E3F"/>
      </top>
      <bottom style="thin">
        <color rgb="FF284E3F"/>
      </bottom>
    </border>
    <border>
      <right style="thin">
        <color rgb="FF356854"/>
      </right>
      <top style="thin">
        <color rgb="FF284E3F"/>
      </top>
      <bottom style="thin">
        <color rgb="FF284E3F"/>
      </bottom>
    </border>
  </borders>
  <cellStyleXfs count="1">
    <xf numFmtId="0" fontId="0" fillId="0" borderId="0"/>
  </cellStyleXfs>
  <cellXfs count="53">
    <xf numFmtId="0" fontId="0" fillId="0" borderId="0" applyAlignment="1" pivotButton="0" quotePrefix="0" xfId="0">
      <alignment vertical="bottom"/>
    </xf>
    <xf numFmtId="0" fontId="1" fillId="0" borderId="1" applyAlignment="1" pivotButton="0" quotePrefix="0" xfId="0">
      <alignment horizontal="left" vertical="center"/>
    </xf>
    <xf numFmtId="0" fontId="1" fillId="0" borderId="2" applyAlignment="1" pivotButton="0" quotePrefix="0" xfId="0">
      <alignment horizontal="left" vertical="center"/>
    </xf>
    <xf numFmtId="0" fontId="1" fillId="0" borderId="3" applyAlignment="1" pivotButton="0" quotePrefix="0" xfId="0">
      <alignment horizontal="left" vertical="center"/>
    </xf>
    <xf numFmtId="0" fontId="2" fillId="0" borderId="4" applyAlignment="1" pivotButton="0" quotePrefix="0" xfId="0">
      <alignment horizontal="left" vertical="center"/>
    </xf>
    <xf numFmtId="0" fontId="2" fillId="0" borderId="5" applyAlignment="1" pivotButton="0" quotePrefix="0" xfId="0">
      <alignment horizontal="left" vertical="center"/>
    </xf>
    <xf numFmtId="0" fontId="2" fillId="0" borderId="5" applyAlignment="1" pivotButton="0" quotePrefix="0" xfId="0">
      <alignment horizontal="left" vertical="center"/>
    </xf>
    <xf numFmtId="0" fontId="2" fillId="0" borderId="6" applyAlignment="1" pivotButton="0" quotePrefix="0" xfId="0">
      <alignment horizontal="left" vertical="center"/>
    </xf>
    <xf numFmtId="0" fontId="2" fillId="0" borderId="7" applyAlignment="1" pivotButton="0" quotePrefix="0" xfId="0">
      <alignment horizontal="left" vertical="center"/>
    </xf>
    <xf numFmtId="0" fontId="2" fillId="0" borderId="8" applyAlignment="1" pivotButton="0" quotePrefix="0" xfId="0">
      <alignment horizontal="left" vertical="center"/>
    </xf>
    <xf numFmtId="0" fontId="2" fillId="0" borderId="8" applyAlignment="1" pivotButton="0" quotePrefix="0" xfId="0">
      <alignment horizontal="left" vertical="center"/>
    </xf>
    <xf numFmtId="0" fontId="2" fillId="0" borderId="9" applyAlignment="1" pivotButton="0" quotePrefix="0" xfId="0">
      <alignment horizontal="left" vertical="center"/>
    </xf>
    <xf numFmtId="0" fontId="2" fillId="0" borderId="6" applyAlignment="1" pivotButton="0" quotePrefix="0" xfId="0">
      <alignment horizontal="left" vertical="center"/>
    </xf>
    <xf numFmtId="0" fontId="2" fillId="0" borderId="9" applyAlignment="1" pivotButton="0" quotePrefix="0" xfId="0">
      <alignment horizontal="left" vertical="center"/>
    </xf>
    <xf numFmtId="164" fontId="2" fillId="0" borderId="7" applyAlignment="1" pivotButton="0" quotePrefix="0" xfId="0">
      <alignment horizontal="left" vertical="center"/>
    </xf>
    <xf numFmtId="0" fontId="3" fillId="0" borderId="6" applyAlignment="1" pivotButton="0" quotePrefix="0" xfId="0">
      <alignment vertical="center"/>
    </xf>
    <xf numFmtId="164" fontId="2" fillId="0" borderId="4" applyAlignment="1" pivotButton="0" quotePrefix="0" xfId="0">
      <alignment horizontal="left" vertical="center"/>
    </xf>
    <xf numFmtId="0" fontId="3" fillId="0" borderId="5" applyAlignment="1" pivotButton="0" quotePrefix="0" xfId="0">
      <alignment vertical="center"/>
    </xf>
    <xf numFmtId="164" fontId="2" fillId="0" borderId="7" applyAlignment="1" pivotButton="0" quotePrefix="0" xfId="0">
      <alignment horizontal="left" vertical="center"/>
    </xf>
    <xf numFmtId="0" fontId="2" fillId="0" borderId="8" applyAlignment="1" pivotButton="0" quotePrefix="0" xfId="0">
      <alignment horizontal="left" vertical="center"/>
    </xf>
    <xf numFmtId="0" fontId="3" fillId="0" borderId="8" applyAlignment="1" pivotButton="0" quotePrefix="0" xfId="0">
      <alignment vertical="center"/>
    </xf>
    <xf numFmtId="0" fontId="3" fillId="0" borderId="8" applyAlignment="1" pivotButton="0" quotePrefix="0" xfId="0">
      <alignment vertical="center"/>
    </xf>
    <xf numFmtId="0" fontId="3" fillId="0" borderId="9" applyAlignment="1" pivotButton="0" quotePrefix="0" xfId="0">
      <alignment vertical="center"/>
    </xf>
    <xf numFmtId="164" fontId="2" fillId="0" borderId="4" applyAlignment="1" pivotButton="0" quotePrefix="0" xfId="0">
      <alignment horizontal="left" vertical="center"/>
    </xf>
    <xf numFmtId="0" fontId="2" fillId="0" borderId="5" applyAlignment="1" pivotButton="0" quotePrefix="0" xfId="0">
      <alignment horizontal="left" vertical="center"/>
    </xf>
    <xf numFmtId="0" fontId="3" fillId="0" borderId="5" applyAlignment="1" pivotButton="0" quotePrefix="0" xfId="0">
      <alignment vertical="center"/>
    </xf>
    <xf numFmtId="0" fontId="3" fillId="0" borderId="6" applyAlignment="1" pivotButton="0" quotePrefix="0" xfId="0">
      <alignment vertical="center"/>
    </xf>
    <xf numFmtId="0" fontId="2" fillId="0" borderId="4" applyAlignment="1" pivotButton="0" quotePrefix="0" xfId="0">
      <alignment horizontal="left" vertical="center"/>
    </xf>
    <xf numFmtId="0" fontId="2" fillId="0" borderId="7" applyAlignment="1" pivotButton="0" quotePrefix="0" xfId="0">
      <alignment horizontal="left" vertical="center"/>
    </xf>
    <xf numFmtId="165" fontId="2" fillId="0" borderId="7" applyAlignment="1" pivotButton="0" quotePrefix="0" xfId="0">
      <alignment horizontal="left" vertical="center"/>
    </xf>
    <xf numFmtId="165" fontId="2" fillId="0" borderId="4" applyAlignment="1" pivotButton="0" quotePrefix="0" xfId="0">
      <alignment horizontal="left" vertical="center"/>
    </xf>
    <xf numFmtId="165" fontId="2" fillId="0" borderId="10" applyAlignment="1" pivotButton="0" quotePrefix="0" xfId="0">
      <alignment horizontal="left" vertical="center"/>
    </xf>
    <xf numFmtId="0" fontId="2" fillId="0" borderId="11" applyAlignment="1" pivotButton="0" quotePrefix="0" xfId="0">
      <alignment horizontal="left" vertical="center"/>
    </xf>
    <xf numFmtId="0" fontId="3" fillId="0" borderId="11" applyAlignment="1" pivotButton="0" quotePrefix="0" xfId="0">
      <alignment vertical="center"/>
    </xf>
    <xf numFmtId="0" fontId="3" fillId="0" borderId="11" applyAlignment="1" pivotButton="0" quotePrefix="0" xfId="0">
      <alignment vertical="center"/>
    </xf>
    <xf numFmtId="0" fontId="3" fillId="0" borderId="12" applyAlignment="1" pivotButton="0" quotePrefix="0" xfId="0">
      <alignment vertical="center"/>
    </xf>
    <xf numFmtId="0" fontId="3" fillId="0" borderId="0" pivotButton="0" quotePrefix="0" xfId="0"/>
    <xf numFmtId="164" fontId="2" fillId="0" borderId="10" applyAlignment="1" pivotButton="0" quotePrefix="0" xfId="0">
      <alignment horizontal="left" vertical="center"/>
    </xf>
    <xf numFmtId="0" fontId="2" fillId="0" borderId="11" applyAlignment="1" pivotButton="0" quotePrefix="0" xfId="0">
      <alignment horizontal="left" vertical="center"/>
    </xf>
    <xf numFmtId="0" fontId="3" fillId="0" borderId="12" applyAlignment="1" pivotButton="0" quotePrefix="0" xfId="0">
      <alignment vertical="center"/>
    </xf>
    <xf numFmtId="0" fontId="2" fillId="2" borderId="13" applyAlignment="1" pivotButton="0" quotePrefix="0" xfId="0">
      <alignment horizontal="left" vertical="center"/>
    </xf>
    <xf numFmtId="0" fontId="2" fillId="2" borderId="14" applyAlignment="1" pivotButton="0" quotePrefix="0" xfId="0">
      <alignment horizontal="left" vertical="center"/>
    </xf>
    <xf numFmtId="0" fontId="0" fillId="0" borderId="0" pivotButton="0" quotePrefix="0" xfId="0"/>
    <xf numFmtId="0" fontId="4" fillId="3" borderId="0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0" fillId="0" borderId="17" pivotButton="0" quotePrefix="0" xfId="0"/>
    <xf numFmtId="0" fontId="0" fillId="0" borderId="18" pivotButton="0" quotePrefix="0" xfId="0"/>
    <xf numFmtId="0" fontId="4" fillId="3" borderId="7" applyAlignment="1" pivotButton="0" quotePrefix="0" xfId="0">
      <alignment horizontal="left" vertical="center"/>
    </xf>
    <xf numFmtId="166" fontId="2" fillId="0" borderId="9" applyAlignment="1" pivotButton="0" quotePrefix="0" xfId="0">
      <alignment horizontal="left" vertical="center"/>
    </xf>
    <xf numFmtId="0" fontId="4" fillId="3" borderId="13" applyAlignment="1" pivotButton="0" quotePrefix="0" xfId="0">
      <alignment horizontal="left" vertical="center"/>
    </xf>
    <xf numFmtId="166" fontId="2" fillId="2" borderId="14" applyAlignment="1" pivotButton="0" quotePrefix="0" xfId="0">
      <alignment horizontal="left" vertical="center"/>
    </xf>
    <xf numFmtId="0" fontId="4" fillId="3" borderId="0" pivotButton="0" quotePrefix="0" xfId="0"/>
    <xf numFmtId="166" fontId="0" fillId="0" borderId="0" pivotButton="0" quotePrefix="0" xfId="0"/>
  </cellXfs>
  <cellStyles count="1">
    <cellStyle name="Normal" xfId="0" builtinId="0"/>
  </cellStyles>
  <dxfs count="5">
    <dxf>
      <font/>
      <fill>
        <patternFill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CDD9D4"/>
          <bgColor rgb="FFCDD9D4"/>
        </patternFill>
      </fill>
      <border/>
    </dxf>
  </dxfs>
  <tableStyles count="3" defaultTableStyle="TableStyleMedium9" defaultPivotStyle="PivotStyleLight16">
    <tableStyle name="Budget Tracker-style" pivot="0" count="3">
      <tableStyleElement type="headerRow" dxfId="1"/>
      <tableStyleElement type="firstRowStripe" dxfId="2"/>
      <tableStyleElement type="secondRowStripe" dxfId="3"/>
    </tableStyle>
    <tableStyle name="Income-style" pivot="0" count="3">
      <tableStyleElement type="headerRow" dxfId="1"/>
      <tableStyleElement type="firstRowStripe" dxfId="2"/>
      <tableStyleElement type="secondRowStripe" dxfId="3"/>
    </tableStyle>
    <tableStyle name="Dashboard-style" pivot="0" count="4">
      <tableStyleElement type="headerRow" dxfId="1"/>
      <tableStyleElement type="firstRowStripe" dxfId="2"/>
      <tableStyleElement type="secondRowStripe" dxfId="3"/>
      <tableStyleElement type="totalRow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Budget Overview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cat>
            <strRef>
              <f>Dashboard!$A$2:$A$4</f>
            </strRef>
          </cat>
          <val>
            <numRef>
              <f>Dashboard!$B$2:$B$4</f>
              <numCache/>
            </numRef>
          </val>
        </ser>
        <gapWidth val="150"/>
        <axId val="610513895"/>
        <axId val="1333513932"/>
      </barChart>
      <catAx>
        <axId val="610513895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Category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333513932"/>
        <lblOffset val="100"/>
      </catAx>
      <valAx>
        <axId val="1333513932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Amount ($)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10513895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Expenses by Priority</a:t>
            </a:r>
          </a:p>
        </rich>
      </tx>
    </title>
    <plotArea>
      <pieChart>
        <varyColors val="1"/>
        <ser>
          <idx val="0"/>
          <order val="0"/>
          <tx>
            <strRef>
              <f>'Budget Tracker'!C1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'Budget Tracker'!$D$2:$D$30</f>
            </numRef>
          </cat>
          <val>
            <numRef>
              <f>'Budget Tracker'!$C$2:$C$30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Expenses by Status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'Budget Tracker'!C1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'Budget Tracker'!$F$2:$F$30</f>
            </numRef>
          </cat>
          <val>
            <numRef>
              <f>'Budget Tracker'!$C$2:$C$30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5391150" cy="269557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  <oneCellAnchor>
    <from>
      <col>3</col>
      <colOff>0</colOff>
      <row>2</row>
      <rowOff>0</rowOff>
    </from>
    <ext cx="324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</col>
      <colOff>0</colOff>
      <row>19</row>
      <rowOff>0</rowOff>
    </from>
    <ext cx="432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Budget_Tracker" displayName="Budget_Tracker" ref="A1:H25" headerRowCount="1">
  <autoFilter ref="$A$1:$H$25">
    <filterColumn colId="6">
      <filters>
        <filter val="no"/>
      </filters>
    </filterColumn>
  </autoFilter>
  <tableColumns count="8">
    <tableColumn id="1" name="Date"/>
    <tableColumn id="2" name="Item"/>
    <tableColumn id="3" name="Amount"/>
    <tableColumn id="4" name="Priority"/>
    <tableColumn id="5" name="Days Until Due"/>
    <tableColumn id="6" name="Status"/>
    <tableColumn id="7" name="Paid?"/>
    <tableColumn id="8" name="Notes"/>
  </tableColumns>
  <tableStyleInfo name="Budget Tracker-style" showFirstColumn="1" showLastColumn="1" showRowStripes="1" showColumnStripes="0"/>
</table>
</file>

<file path=xl/tables/table2.xml><?xml version="1.0" encoding="utf-8"?>
<table xmlns="http://schemas.openxmlformats.org/spreadsheetml/2006/main" id="2" name="Income" displayName="Income" ref="A1:C5" headerRowCount="1">
  <tableColumns count="3">
    <tableColumn id="1" name="Date"/>
    <tableColumn id="2" name="Source"/>
    <tableColumn id="3" name="Amount"/>
  </tableColumns>
  <tableStyleInfo name="Income-style" showFirstColumn="1" showLastColumn="1" showRowStripes="1" showColumnStripes="0"/>
</table>
</file>

<file path=xl/tables/table3.xml><?xml version="1.0" encoding="utf-8"?>
<table xmlns="http://schemas.openxmlformats.org/spreadsheetml/2006/main" id="3" name="Dashboard" displayName="Dashboard" ref="A1:B4" headerRowCount="1" totalsRowCount="1">
  <tableColumns count="2">
    <tableColumn id="1" name="Metric" totalsRowLabel="Remaining Balance"/>
    <tableColumn id="2" name="Amount" totalsRowFunction="custom"/>
  </tableColumns>
  <tableStyleInfo name="Dashboard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3.xml" Id="rId2"/></Relationships>
</file>

<file path=xl/worksheets/sheet1.xml><?xml version="1.0" encoding="utf-8"?>
<worksheet xmlns="http://schemas.openxmlformats.org/spreadsheetml/2006/main">
  <sheetPr>
    <tabColor rgb="FF00FF00"/>
    <outlinePr summaryBelow="1" summaryRight="1"/>
    <pageSetUpPr/>
  </sheetPr>
  <dimension ref="A1:K3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.71" customWidth="1" style="42" min="1" max="1"/>
    <col width="24.29" customWidth="1" style="42" min="2" max="2"/>
    <col width="17.43" customWidth="1" style="42" min="3" max="3"/>
    <col width="13.29" customWidth="1" style="42" min="4" max="4"/>
    <col width="20" customWidth="1" style="42" min="5" max="5"/>
    <col width="19" customWidth="1" style="42" min="6" max="6"/>
    <col width="11.57" customWidth="1" style="42" min="7" max="7"/>
    <col width="21.86" customWidth="1" style="42" min="8" max="8"/>
    <col width="8.710000000000001" customWidth="1" style="42" min="9" max="26"/>
  </cols>
  <sheetData>
    <row r="1">
      <c r="A1" s="1" t="inlineStr">
        <is>
          <t>Date</t>
        </is>
      </c>
      <c r="B1" s="2" t="inlineStr">
        <is>
          <t>Item</t>
        </is>
      </c>
      <c r="C1" s="2" t="inlineStr">
        <is>
          <t>Amount</t>
        </is>
      </c>
      <c r="D1" s="2" t="inlineStr">
        <is>
          <t>Priority</t>
        </is>
      </c>
      <c r="E1" s="2" t="inlineStr">
        <is>
          <t>Days Until Due</t>
        </is>
      </c>
      <c r="F1" s="2" t="inlineStr">
        <is>
          <t>Status</t>
        </is>
      </c>
      <c r="G1" s="2" t="inlineStr">
        <is>
          <t>Paid?</t>
        </is>
      </c>
      <c r="H1" s="3" t="inlineStr">
        <is>
          <t>Notes</t>
        </is>
      </c>
      <c r="I1" s="43" t="inlineStr">
        <is>
          <t>Due This Week</t>
        </is>
      </c>
      <c r="J1" s="43" t="inlineStr">
        <is>
          <t>Due This Month</t>
        </is>
      </c>
      <c r="K1" s="43" t="inlineStr">
        <is>
          <t>Remaining Days</t>
        </is>
      </c>
    </row>
    <row r="2">
      <c r="A2" s="27" t="inlineStr">
        <is>
          <t>2025-09-22</t>
        </is>
      </c>
      <c r="B2" s="24" t="inlineStr">
        <is>
          <t>Affirm</t>
        </is>
      </c>
      <c r="C2" s="24" t="n">
        <v>96.19</v>
      </c>
      <c r="D2" s="24" t="inlineStr">
        <is>
          <t>High</t>
        </is>
      </c>
      <c r="E2" s="24" t="n">
        <v>0</v>
      </c>
      <c r="F2" s="24" t="inlineStr">
        <is>
          <t>Upcoming</t>
        </is>
      </c>
      <c r="G2" s="24" t="inlineStr">
        <is>
          <t>no</t>
        </is>
      </c>
      <c r="H2" s="12" t="n"/>
      <c r="I2" s="0">
        <f>IF(AND(A2&gt;=TODAY(), A2&lt;=TODAY()+7), "Yes", "")</f>
        <v/>
      </c>
      <c r="J2" s="0">
        <f>IF(AND(MONTH(A2)=MONTH(TODAY()), YEAR(A2)=YEAR(TODAY())), "Yes", "")</f>
        <v/>
      </c>
      <c r="K2" s="0">
        <f>A2-TODAY()</f>
        <v/>
      </c>
    </row>
    <row r="3">
      <c r="A3" s="28" t="inlineStr">
        <is>
          <t>2025-09-25</t>
        </is>
      </c>
      <c r="B3" s="19" t="inlineStr">
        <is>
          <t>Affirm</t>
        </is>
      </c>
      <c r="C3" s="19" t="n">
        <v>181.75</v>
      </c>
      <c r="D3" s="19" t="inlineStr">
        <is>
          <t>High</t>
        </is>
      </c>
      <c r="E3" s="19" t="n">
        <v>3</v>
      </c>
      <c r="F3" s="19" t="inlineStr">
        <is>
          <t>Upcoming</t>
        </is>
      </c>
      <c r="G3" s="19" t="inlineStr">
        <is>
          <t>no</t>
        </is>
      </c>
      <c r="H3" s="13" t="n"/>
      <c r="I3" s="0">
        <f>IF(AND(A3&gt;=TODAY(), A3&lt;=TODAY()+7), "Yes", "")</f>
        <v/>
      </c>
      <c r="J3" s="0">
        <f>IF(AND(MONTH(A3)=MONTH(TODAY()), YEAR(A3)=YEAR(TODAY())), "Yes", "")</f>
        <v/>
      </c>
      <c r="K3" s="0">
        <f>A3-TODAY()</f>
        <v/>
      </c>
    </row>
    <row r="4" hidden="1" s="42">
      <c r="A4" s="27" t="inlineStr">
        <is>
          <t>2025-09-26</t>
        </is>
      </c>
      <c r="B4" s="24" t="inlineStr">
        <is>
          <t>Car Payment</t>
        </is>
      </c>
      <c r="C4" s="24" t="n">
        <v>547.9</v>
      </c>
      <c r="D4" s="24" t="inlineStr">
        <is>
          <t>High</t>
        </is>
      </c>
      <c r="E4" s="24" t="n">
        <v>4</v>
      </c>
      <c r="F4" s="24" t="inlineStr">
        <is>
          <t>Upcoming</t>
        </is>
      </c>
      <c r="G4" s="24" t="inlineStr">
        <is>
          <t>yes</t>
        </is>
      </c>
      <c r="H4" s="12" t="n"/>
      <c r="I4" s="0">
        <f>IF(AND(A4&gt;=TODAY(), A4&lt;=TODAY()+7), "Yes", "")</f>
        <v/>
      </c>
      <c r="J4" s="0">
        <f>IF(AND(MONTH(A4)=MONTH(TODAY()), YEAR(A4)=YEAR(TODAY())), "Yes", "")</f>
        <v/>
      </c>
      <c r="K4" s="0">
        <f>A4-TODAY()</f>
        <v/>
      </c>
    </row>
    <row r="5" hidden="1" s="42">
      <c r="A5" s="28" t="inlineStr">
        <is>
          <t>2025-09-26</t>
        </is>
      </c>
      <c r="B5" s="19" t="inlineStr">
        <is>
          <t>Rent Plan (Back)</t>
        </is>
      </c>
      <c r="C5" s="19" t="n">
        <v>142</v>
      </c>
      <c r="D5" s="19" t="inlineStr">
        <is>
          <t>High</t>
        </is>
      </c>
      <c r="E5" s="19" t="n">
        <v>4</v>
      </c>
      <c r="F5" s="19" t="inlineStr">
        <is>
          <t>Upcoming</t>
        </is>
      </c>
      <c r="G5" s="19" t="inlineStr">
        <is>
          <t>yes</t>
        </is>
      </c>
      <c r="H5" s="13" t="n"/>
      <c r="I5" s="0">
        <f>IF(AND(A5&gt;=TODAY(), A5&lt;=TODAY()+7), "Yes", "")</f>
        <v/>
      </c>
      <c r="J5" s="0">
        <f>IF(AND(MONTH(A5)=MONTH(TODAY()), YEAR(A5)=YEAR(TODAY())), "Yes", "")</f>
        <v/>
      </c>
      <c r="K5" s="0">
        <f>A5-TODAY()</f>
        <v/>
      </c>
    </row>
    <row r="6">
      <c r="A6" s="27" t="inlineStr">
        <is>
          <t>2025-09-30</t>
        </is>
      </c>
      <c r="B6" s="24" t="inlineStr">
        <is>
          <t>Flight Ticket</t>
        </is>
      </c>
      <c r="C6" s="24" t="n">
        <v>1200</v>
      </c>
      <c r="D6" s="24" t="inlineStr">
        <is>
          <t>High</t>
        </is>
      </c>
      <c r="E6" s="24" t="n">
        <v>8</v>
      </c>
      <c r="F6" s="24" t="inlineStr">
        <is>
          <t>Upcoming</t>
        </is>
      </c>
      <c r="G6" s="24" t="inlineStr">
        <is>
          <t>no</t>
        </is>
      </c>
      <c r="H6" s="12" t="inlineStr">
        <is>
          <t xml:space="preserve"> </t>
        </is>
      </c>
      <c r="I6" s="0">
        <f>IF(AND(A6&gt;=TODAY(), A6&lt;=TODAY()+7), "Yes", "")</f>
        <v/>
      </c>
      <c r="J6" s="0">
        <f>IF(AND(MONTH(A6)=MONTH(TODAY()), YEAR(A6)=YEAR(TODAY())), "Yes", "")</f>
        <v/>
      </c>
      <c r="K6" s="0">
        <f>A6-TODAY()</f>
        <v/>
      </c>
    </row>
    <row r="7">
      <c r="A7" s="18" t="n">
        <v>45930</v>
      </c>
      <c r="B7" s="19" t="inlineStr">
        <is>
          <t>Affirm</t>
        </is>
      </c>
      <c r="C7" s="19" t="n">
        <v>86.09</v>
      </c>
      <c r="D7" s="19" t="inlineStr">
        <is>
          <t>High</t>
        </is>
      </c>
      <c r="E7" s="19" t="n">
        <v>8</v>
      </c>
      <c r="F7" s="19" t="inlineStr">
        <is>
          <t>Upcoming</t>
        </is>
      </c>
      <c r="G7" s="19" t="inlineStr">
        <is>
          <t>no</t>
        </is>
      </c>
      <c r="H7" s="13" t="n"/>
      <c r="I7" s="0">
        <f>IF(AND(A7&gt;=TODAY(), A7&lt;=TODAY()+7), "Yes", "")</f>
        <v/>
      </c>
      <c r="J7" s="0">
        <f>IF(AND(MONTH(A7)=MONTH(TODAY()), YEAR(A7)=YEAR(TODAY())), "Yes", "")</f>
        <v/>
      </c>
      <c r="K7" s="0">
        <f>A7-TODAY()</f>
        <v/>
      </c>
    </row>
    <row r="8" hidden="1" s="42">
      <c r="A8" s="27" t="inlineStr">
        <is>
          <t>2025-10-01</t>
        </is>
      </c>
      <c r="B8" s="24" t="inlineStr">
        <is>
          <t>October Rent</t>
        </is>
      </c>
      <c r="C8" s="24" t="n">
        <v>2052.09</v>
      </c>
      <c r="D8" s="24" t="inlineStr">
        <is>
          <t>Critical</t>
        </is>
      </c>
      <c r="E8" s="24" t="n">
        <v>9</v>
      </c>
      <c r="F8" s="24" t="inlineStr">
        <is>
          <t>Upcoming</t>
        </is>
      </c>
      <c r="G8" s="24" t="inlineStr">
        <is>
          <t>yes</t>
        </is>
      </c>
      <c r="H8" s="26" t="n">
        <v>609</v>
      </c>
      <c r="I8" s="0">
        <f>IF(AND(A8&gt;=TODAY(), A8&lt;=TODAY()+7), "Yes", "")</f>
        <v/>
      </c>
      <c r="J8" s="0">
        <f>IF(AND(MONTH(A8)=MONTH(TODAY()), YEAR(A8)=YEAR(TODAY())), "Yes", "")</f>
        <v/>
      </c>
      <c r="K8" s="0">
        <f>A8-TODAY()</f>
        <v/>
      </c>
    </row>
    <row r="9" hidden="1" s="42">
      <c r="A9" s="28" t="inlineStr">
        <is>
          <t>2025-10-10</t>
        </is>
      </c>
      <c r="B9" s="19" t="inlineStr">
        <is>
          <t>Capital One</t>
        </is>
      </c>
      <c r="C9" s="19" t="n">
        <v>200</v>
      </c>
      <c r="D9" s="19" t="inlineStr">
        <is>
          <t>High</t>
        </is>
      </c>
      <c r="E9" s="19" t="n">
        <v>18</v>
      </c>
      <c r="F9" s="19" t="inlineStr">
        <is>
          <t>Upcoming</t>
        </is>
      </c>
      <c r="G9" s="19" t="inlineStr">
        <is>
          <t>yes</t>
        </is>
      </c>
      <c r="H9" s="13" t="n"/>
      <c r="I9" s="0">
        <f>IF(AND(A9&gt;=TODAY(), A9&lt;=TODAY()+7), "Yes", "")</f>
        <v/>
      </c>
      <c r="J9" s="0">
        <f>IF(AND(MONTH(A9)=MONTH(TODAY()), YEAR(A9)=YEAR(TODAY())), "Yes", "")</f>
        <v/>
      </c>
      <c r="K9" s="0">
        <f>A9-TODAY()</f>
        <v/>
      </c>
    </row>
    <row r="10" hidden="1" s="42">
      <c r="A10" s="23" t="n">
        <v>45940</v>
      </c>
      <c r="B10" s="24" t="inlineStr">
        <is>
          <t>FPL</t>
        </is>
      </c>
      <c r="C10" s="24" t="n">
        <v>50.12</v>
      </c>
      <c r="D10" s="24" t="inlineStr">
        <is>
          <t>High</t>
        </is>
      </c>
      <c r="E10" s="24" t="n">
        <v>16</v>
      </c>
      <c r="F10" s="25" t="inlineStr">
        <is>
          <t>Upcoming</t>
        </is>
      </c>
      <c r="G10" s="25" t="inlineStr">
        <is>
          <t>yes</t>
        </is>
      </c>
      <c r="H10" s="26">
        <f>403.91-C10</f>
        <v/>
      </c>
      <c r="I10" s="0">
        <f>IF(AND(A10&gt;=TODAY(), A10&lt;=TODAY()+7), "Yes", "")</f>
        <v/>
      </c>
      <c r="J10" s="0">
        <f>IF(AND(MONTH(A10)=MONTH(TODAY()), YEAR(A10)=YEAR(TODAY())), "Yes", "")</f>
        <v/>
      </c>
      <c r="K10" s="0">
        <f>A10-TODAY()</f>
        <v/>
      </c>
    </row>
    <row r="11" hidden="1" s="42">
      <c r="A11" s="18" t="n">
        <v>45935</v>
      </c>
      <c r="B11" s="19" t="inlineStr">
        <is>
          <t>Mazda</t>
        </is>
      </c>
      <c r="C11" s="19" t="n">
        <v>308</v>
      </c>
      <c r="D11" s="19" t="inlineStr">
        <is>
          <t>High</t>
        </is>
      </c>
      <c r="E11" s="19" t="n">
        <v>28</v>
      </c>
      <c r="F11" s="21" t="inlineStr">
        <is>
          <t>Upcoming</t>
        </is>
      </c>
      <c r="G11" s="21" t="inlineStr">
        <is>
          <t>yes</t>
        </is>
      </c>
      <c r="H11" s="22" t="inlineStr">
        <is>
          <t>scheduled</t>
        </is>
      </c>
      <c r="I11" s="0">
        <f>IF(AND(A11&gt;=TODAY(), A11&lt;=TODAY()+7), "Yes", "")</f>
        <v/>
      </c>
      <c r="J11" s="0">
        <f>IF(AND(MONTH(A11)=MONTH(TODAY()), YEAR(A11)=YEAR(TODAY())), "Yes", "")</f>
        <v/>
      </c>
      <c r="K11" s="0">
        <f>A11-TODAY()</f>
        <v/>
      </c>
    </row>
    <row r="12" hidden="1" s="42">
      <c r="A12" s="23" t="n">
        <v>45930</v>
      </c>
      <c r="B12" s="24" t="inlineStr">
        <is>
          <t>Mariner</t>
        </is>
      </c>
      <c r="C12" s="24" t="n">
        <v>359</v>
      </c>
      <c r="D12" s="24" t="inlineStr">
        <is>
          <t>High</t>
        </is>
      </c>
      <c r="E12" s="24" t="n">
        <v>28</v>
      </c>
      <c r="F12" s="25" t="inlineStr">
        <is>
          <t>Upcoming</t>
        </is>
      </c>
      <c r="G12" s="25" t="inlineStr">
        <is>
          <t>yes</t>
        </is>
      </c>
      <c r="H12" s="26" t="n"/>
      <c r="I12" s="0">
        <f>IF(AND(A12&gt;=TODAY(), A12&lt;=TODAY()+7), "Yes", "")</f>
        <v/>
      </c>
      <c r="J12" s="0">
        <f>IF(AND(MONTH(A12)=MONTH(TODAY()), YEAR(A12)=YEAR(TODAY())), "Yes", "")</f>
        <v/>
      </c>
      <c r="K12" s="0">
        <f>A12-TODAY()</f>
        <v/>
      </c>
    </row>
    <row r="13" hidden="1" s="42">
      <c r="A13" s="18" t="n">
        <v>45935</v>
      </c>
      <c r="B13" s="19" t="inlineStr">
        <is>
          <t>JVT</t>
        </is>
      </c>
      <c r="C13" s="19" t="n">
        <v>312</v>
      </c>
      <c r="D13" s="19" t="inlineStr">
        <is>
          <t>High</t>
        </is>
      </c>
      <c r="E13" s="19" t="n">
        <v>0</v>
      </c>
      <c r="F13" s="21" t="inlineStr">
        <is>
          <t>Upcoming</t>
        </is>
      </c>
      <c r="G13" s="21" t="inlineStr">
        <is>
          <t>yes</t>
        </is>
      </c>
      <c r="H13" s="22" t="n"/>
      <c r="I13" s="0">
        <f>IF(AND(A13&gt;=TODAY(), A13&lt;=TODAY()+7), "Yes", "")</f>
        <v/>
      </c>
      <c r="J13" s="0">
        <f>IF(AND(MONTH(A13)=MONTH(TODAY()), YEAR(A13)=YEAR(TODAY())), "Yes", "")</f>
        <v/>
      </c>
      <c r="K13" s="0">
        <f>A13-TODAY()</f>
        <v/>
      </c>
    </row>
    <row r="14">
      <c r="A14" s="23" t="n">
        <v>45926</v>
      </c>
      <c r="B14" s="24" t="inlineStr">
        <is>
          <t>Miscellaneous</t>
        </is>
      </c>
      <c r="C14" s="24" t="n">
        <v>89</v>
      </c>
      <c r="D14" s="24" t="inlineStr">
        <is>
          <t>Low</t>
        </is>
      </c>
      <c r="E14" s="24" t="n">
        <v>0</v>
      </c>
      <c r="F14" s="25" t="inlineStr">
        <is>
          <t>Upcoming</t>
        </is>
      </c>
      <c r="G14" s="25" t="inlineStr">
        <is>
          <t>no</t>
        </is>
      </c>
      <c r="H14" s="26" t="inlineStr">
        <is>
          <t>done</t>
        </is>
      </c>
      <c r="I14" s="0">
        <f>IF(AND(A14&gt;=TODAY(), A14&lt;=TODAY()+7), "Yes", "")</f>
        <v/>
      </c>
      <c r="J14" s="0">
        <f>IF(AND(MONTH(A14)=MONTH(TODAY()), YEAR(A14)=YEAR(TODAY())), "Yes", "")</f>
        <v/>
      </c>
      <c r="K14" s="0">
        <f>A14-TODAY()</f>
        <v/>
      </c>
    </row>
    <row r="15" hidden="1" s="42">
      <c r="A15" s="18" t="n">
        <v>45930</v>
      </c>
      <c r="B15" s="19" t="inlineStr">
        <is>
          <t>Progressive</t>
        </is>
      </c>
      <c r="C15" s="19" t="n">
        <v>179.66</v>
      </c>
      <c r="D15" s="19" t="inlineStr">
        <is>
          <t>Medium</t>
        </is>
      </c>
      <c r="E15" s="19" t="n">
        <v>4</v>
      </c>
      <c r="F15" s="21" t="inlineStr">
        <is>
          <t>Upcoming</t>
        </is>
      </c>
      <c r="G15" s="21" t="inlineStr">
        <is>
          <t>yes</t>
        </is>
      </c>
      <c r="H15" s="22" t="n"/>
      <c r="I15" s="0">
        <f>IF(AND(A15&gt;=TODAY(), A15&lt;=TODAY()+7), "Yes", "")</f>
        <v/>
      </c>
      <c r="J15" s="0">
        <f>IF(AND(MONTH(A15)=MONTH(TODAY()), YEAR(A15)=YEAR(TODAY())), "Yes", "")</f>
        <v/>
      </c>
      <c r="K15" s="0">
        <f>A15-TODAY()</f>
        <v/>
      </c>
    </row>
    <row r="16" hidden="1" s="42">
      <c r="A16" s="23" t="n">
        <v>45930</v>
      </c>
      <c r="B16" s="24" t="inlineStr">
        <is>
          <t>Alliance</t>
        </is>
      </c>
      <c r="C16" s="24" t="n">
        <v>151</v>
      </c>
      <c r="D16" s="24" t="inlineStr">
        <is>
          <t>Medium</t>
        </is>
      </c>
      <c r="E16" s="24" t="n">
        <v>4</v>
      </c>
      <c r="F16" s="25" t="inlineStr">
        <is>
          <t>Upcoming</t>
        </is>
      </c>
      <c r="G16" s="25" t="inlineStr">
        <is>
          <t>yes</t>
        </is>
      </c>
      <c r="H16" s="26" t="n"/>
      <c r="I16" s="0">
        <f>IF(AND(A16&gt;=TODAY(), A16&lt;=TODAY()+7), "Yes", "")</f>
        <v/>
      </c>
      <c r="J16" s="0">
        <f>IF(AND(MONTH(A16)=MONTH(TODAY()), YEAR(A16)=YEAR(TODAY())), "Yes", "")</f>
        <v/>
      </c>
      <c r="K16" s="0">
        <f>A16-TODAY()</f>
        <v/>
      </c>
    </row>
    <row r="17" hidden="1" s="42">
      <c r="A17" s="18" t="n">
        <v>45930</v>
      </c>
      <c r="B17" s="19" t="inlineStr">
        <is>
          <t>Sloan</t>
        </is>
      </c>
      <c r="C17" s="19" t="n">
        <v>150.75</v>
      </c>
      <c r="D17" s="19" t="inlineStr">
        <is>
          <t>High</t>
        </is>
      </c>
      <c r="E17" s="19" t="n">
        <v>35</v>
      </c>
      <c r="F17" s="21" t="inlineStr">
        <is>
          <t>Upcoming</t>
        </is>
      </c>
      <c r="G17" s="21" t="inlineStr">
        <is>
          <t>yes</t>
        </is>
      </c>
      <c r="H17" s="22" t="inlineStr">
        <is>
          <t>scheduled</t>
        </is>
      </c>
      <c r="I17" s="0">
        <f>IF(AND(A17&gt;=TODAY(), A17&lt;=TODAY()+7), "Yes", "")</f>
        <v/>
      </c>
      <c r="J17" s="0">
        <f>IF(AND(MONTH(A17)=MONTH(TODAY()), YEAR(A17)=YEAR(TODAY())), "Yes", "")</f>
        <v/>
      </c>
      <c r="K17" s="0">
        <f>A17-TODAY()</f>
        <v/>
      </c>
    </row>
    <row r="18" hidden="1" s="42">
      <c r="A18" s="23" t="n">
        <v>45926</v>
      </c>
      <c r="B18" s="24" t="inlineStr">
        <is>
          <t>Fortina</t>
        </is>
      </c>
      <c r="C18" s="24" t="n">
        <v>40</v>
      </c>
      <c r="D18" s="24" t="inlineStr">
        <is>
          <t>Low</t>
        </is>
      </c>
      <c r="E18" s="24" t="n">
        <v>0</v>
      </c>
      <c r="F18" s="25" t="inlineStr">
        <is>
          <t>Due now</t>
        </is>
      </c>
      <c r="G18" s="25" t="inlineStr">
        <is>
          <t>yes</t>
        </is>
      </c>
      <c r="H18" s="26" t="n"/>
      <c r="I18" s="0">
        <f>IF(AND(A18&gt;=TODAY(), A18&lt;=TODAY()+7), "Yes", "")</f>
        <v/>
      </c>
      <c r="J18" s="0">
        <f>IF(AND(MONTH(A18)=MONTH(TODAY()), YEAR(A18)=YEAR(TODAY())), "Yes", "")</f>
        <v/>
      </c>
      <c r="K18" s="0">
        <f>A18-TODAY()</f>
        <v/>
      </c>
    </row>
    <row r="19" hidden="1" s="42">
      <c r="A19" s="18" t="n">
        <v>45940</v>
      </c>
      <c r="B19" s="19" t="inlineStr">
        <is>
          <t>Mariner</t>
        </is>
      </c>
      <c r="C19" s="19" t="n">
        <v>359</v>
      </c>
      <c r="D19" s="19" t="inlineStr">
        <is>
          <t>High</t>
        </is>
      </c>
      <c r="E19" s="19" t="n">
        <v>30</v>
      </c>
      <c r="F19" s="21" t="inlineStr">
        <is>
          <t>upcoming</t>
        </is>
      </c>
      <c r="G19" s="21" t="inlineStr">
        <is>
          <t>yes</t>
        </is>
      </c>
      <c r="H19" s="22" t="inlineStr">
        <is>
          <t>scheduled</t>
        </is>
      </c>
      <c r="I19" s="0">
        <f>IF(AND(A19&gt;=TODAY(), A19&lt;=TODAY()+7), "Yes", "")</f>
        <v/>
      </c>
      <c r="J19" s="0">
        <f>IF(AND(MONTH(A19)=MONTH(TODAY()), YEAR(A19)=YEAR(TODAY())), "Yes", "")</f>
        <v/>
      </c>
      <c r="K19" s="0">
        <f>A19-TODAY()</f>
        <v/>
      </c>
    </row>
    <row r="20" hidden="1" s="42">
      <c r="A20" s="27" t="inlineStr">
        <is>
          <t>101-0-2025</t>
        </is>
      </c>
      <c r="B20" s="24" t="inlineStr">
        <is>
          <t>Adjustment</t>
        </is>
      </c>
      <c r="C20" s="24" t="n">
        <v>652</v>
      </c>
      <c r="D20" s="24" t="n"/>
      <c r="E20" s="24" t="n"/>
      <c r="F20" s="25" t="n"/>
      <c r="G20" s="25" t="inlineStr">
        <is>
          <t>yes</t>
        </is>
      </c>
      <c r="H20" s="26" t="n"/>
      <c r="I20" s="0">
        <f>IF(AND(A20&gt;=TODAY(), A20&lt;=TODAY()+7), "Yes", "")</f>
        <v/>
      </c>
      <c r="J20" s="0">
        <f>IF(AND(MONTH(A20)=MONTH(TODAY()), YEAR(A20)=YEAR(TODAY())), "Yes", "")</f>
        <v/>
      </c>
      <c r="K20" s="0">
        <f>A20-TODAY()</f>
        <v/>
      </c>
    </row>
    <row r="21" hidden="1" ht="15.75" customHeight="1" s="42">
      <c r="A21" s="28" t="inlineStr">
        <is>
          <t>Progressive</t>
        </is>
      </c>
      <c r="B21" s="19" t="n"/>
      <c r="C21" s="19" t="n">
        <v>179</v>
      </c>
      <c r="D21" s="19" t="n"/>
      <c r="E21" s="19" t="n"/>
      <c r="F21" s="21" t="n"/>
      <c r="G21" s="21" t="inlineStr">
        <is>
          <t>yes</t>
        </is>
      </c>
      <c r="H21" s="22" t="n"/>
      <c r="I21" s="0">
        <f>IF(AND(A21&gt;=TODAY(), A21&lt;=TODAY()+7), "Yes", "")</f>
        <v/>
      </c>
      <c r="J21" s="0">
        <f>IF(AND(MONTH(A21)=MONTH(TODAY()), YEAR(A21)=YEAR(TODAY())), "Yes", "")</f>
        <v/>
      </c>
      <c r="K21" s="0">
        <f>A21-TODAY()</f>
        <v/>
      </c>
    </row>
    <row r="22" hidden="1" ht="15.75" customHeight="1" s="42">
      <c r="A22" s="27" t="inlineStr">
        <is>
          <t>Alliance</t>
        </is>
      </c>
      <c r="B22" s="24" t="n"/>
      <c r="C22" s="24">
        <f>155+25</f>
        <v/>
      </c>
      <c r="D22" s="24" t="n"/>
      <c r="E22" s="24" t="n"/>
      <c r="F22" s="25" t="n"/>
      <c r="G22" s="25" t="inlineStr">
        <is>
          <t>yes</t>
        </is>
      </c>
      <c r="H22" s="26" t="n"/>
      <c r="I22" s="0">
        <f>IF(AND(A22&gt;=TODAY(), A22&lt;=TODAY()+7), "Yes", "")</f>
        <v/>
      </c>
      <c r="J22" s="0">
        <f>IF(AND(MONTH(A22)=MONTH(TODAY()), YEAR(A22)=YEAR(TODAY())), "Yes", "")</f>
        <v/>
      </c>
      <c r="K22" s="0">
        <f>A22-TODAY()</f>
        <v/>
      </c>
    </row>
    <row r="23" ht="15.75" customHeight="1" s="42">
      <c r="A23" s="29" t="n">
        <v>45955</v>
      </c>
      <c r="B23" s="19" t="inlineStr">
        <is>
          <t>car</t>
        </is>
      </c>
      <c r="C23" s="19" t="n">
        <v>547.9</v>
      </c>
      <c r="D23" s="19" t="inlineStr">
        <is>
          <t>Low</t>
        </is>
      </c>
      <c r="E23" s="19" t="n">
        <v>12</v>
      </c>
      <c r="F23" s="21" t="inlineStr">
        <is>
          <t>Upcoming</t>
        </is>
      </c>
      <c r="G23" s="21" t="inlineStr">
        <is>
          <t>no</t>
        </is>
      </c>
      <c r="H23" s="22" t="n"/>
      <c r="I23" s="0">
        <f>IF(AND(A23&gt;=TODAY(), A23&lt;=TODAY()+7), "Yes", "")</f>
        <v/>
      </c>
      <c r="J23" s="0">
        <f>IF(AND(MONTH(A23)=MONTH(TODAY()), YEAR(A23)=YEAR(TODAY())), "Yes", "")</f>
        <v/>
      </c>
      <c r="K23" s="0">
        <f>A23-TODAY()</f>
        <v/>
      </c>
    </row>
    <row r="24" ht="15.75" customHeight="1" s="42">
      <c r="A24" s="30" t="n">
        <v>45954</v>
      </c>
      <c r="B24" s="24" t="inlineStr">
        <is>
          <t>Rent</t>
        </is>
      </c>
      <c r="C24" s="24" t="n">
        <v>603</v>
      </c>
      <c r="D24" s="24" t="inlineStr">
        <is>
          <t>Low</t>
        </is>
      </c>
      <c r="E24" s="24" t="n">
        <v>0</v>
      </c>
      <c r="F24" s="25" t="inlineStr">
        <is>
          <t>Upcoming</t>
        </is>
      </c>
      <c r="G24" s="25" t="inlineStr">
        <is>
          <t>no</t>
        </is>
      </c>
      <c r="H24" s="26" t="n"/>
      <c r="I24" s="0">
        <f>IF(AND(A24&gt;=TODAY(), A24&lt;=TODAY()+7), "Yes", "")</f>
        <v/>
      </c>
      <c r="J24" s="0">
        <f>IF(AND(MONTH(A24)=MONTH(TODAY()), YEAR(A24)=YEAR(TODAY())), "Yes", "")</f>
        <v/>
      </c>
      <c r="K24" s="0">
        <f>A24-TODAY()</f>
        <v/>
      </c>
    </row>
    <row r="25" ht="15.75" customHeight="1" s="42">
      <c r="A25" s="31" t="n">
        <v>45947</v>
      </c>
      <c r="B25" s="38" t="inlineStr">
        <is>
          <t>Newera</t>
        </is>
      </c>
      <c r="C25" s="38" t="n">
        <v>303</v>
      </c>
      <c r="D25" s="38" t="inlineStr">
        <is>
          <t>Low</t>
        </is>
      </c>
      <c r="E25" s="38" t="n">
        <v>0</v>
      </c>
      <c r="F25" s="34" t="inlineStr">
        <is>
          <t>Upcoming</t>
        </is>
      </c>
      <c r="G25" s="34" t="inlineStr">
        <is>
          <t>no</t>
        </is>
      </c>
      <c r="H25" s="39" t="n"/>
      <c r="I25" s="0">
        <f>IF(AND(A25&gt;=TODAY(), A25&lt;=TODAY()+7), "Yes", "")</f>
        <v/>
      </c>
      <c r="J25" s="0">
        <f>IF(AND(MONTH(A25)=MONTH(TODAY()), YEAR(A25)=YEAR(TODAY())), "Yes", "")</f>
        <v/>
      </c>
      <c r="K25" s="0">
        <f>A25-TODAY()</f>
        <v/>
      </c>
    </row>
    <row r="26" ht="15.75" customHeight="1" s="42">
      <c r="I26" s="0">
        <f>IF(AND(A26&gt;=TODAY(), A26&lt;=TODAY()+7), "Yes", "")</f>
        <v/>
      </c>
      <c r="J26" s="0">
        <f>IF(AND(MONTH(A26)=MONTH(TODAY()), YEAR(A26)=YEAR(TODAY())), "Yes", "")</f>
        <v/>
      </c>
      <c r="K26" s="0">
        <f>A26-TODAY()</f>
        <v/>
      </c>
    </row>
    <row r="27" ht="15.75" customHeight="1" s="42">
      <c r="I27" s="0">
        <f>IF(AND(A27&gt;=TODAY(), A27&lt;=TODAY()+7), "Yes", "")</f>
        <v/>
      </c>
      <c r="J27" s="0">
        <f>IF(AND(MONTH(A27)=MONTH(TODAY()), YEAR(A27)=YEAR(TODAY())), "Yes", "")</f>
        <v/>
      </c>
      <c r="K27" s="0">
        <f>A27-TODAY()</f>
        <v/>
      </c>
    </row>
    <row r="28" ht="15.75" customHeight="1" s="42">
      <c r="I28" s="0">
        <f>IF(AND(A28&gt;=TODAY(), A28&lt;=TODAY()+7), "Yes", "")</f>
        <v/>
      </c>
      <c r="J28" s="0">
        <f>IF(AND(MONTH(A28)=MONTH(TODAY()), YEAR(A28)=YEAR(TODAY())), "Yes", "")</f>
        <v/>
      </c>
      <c r="K28" s="0">
        <f>A28-TODAY()</f>
        <v/>
      </c>
    </row>
    <row r="29" ht="15.75" customHeight="1" s="42">
      <c r="I29" s="0">
        <f>IF(AND(A29&gt;=TODAY(), A29&lt;=TODAY()+7), "Yes", "")</f>
        <v/>
      </c>
      <c r="J29" s="0">
        <f>IF(AND(MONTH(A29)=MONTH(TODAY()), YEAR(A29)=YEAR(TODAY())), "Yes", "")</f>
        <v/>
      </c>
      <c r="K29" s="0">
        <f>A29-TODAY()</f>
        <v/>
      </c>
    </row>
    <row r="30" ht="15.75" customHeight="1" s="42">
      <c r="C30" s="36" t="inlineStr">
        <is>
          <t xml:space="preserve"> </t>
        </is>
      </c>
      <c r="I30" s="0">
        <f>IF(AND(A30&gt;=TODAY(), A30&lt;=TODAY()+7), "Yes", "")</f>
        <v/>
      </c>
      <c r="J30" s="0">
        <f>IF(AND(MONTH(A30)=MONTH(TODAY()), YEAR(A30)=YEAR(TODAY())), "Yes", "")</f>
        <v/>
      </c>
      <c r="K30" s="0">
        <f>A30-TODAY()</f>
        <v/>
      </c>
    </row>
    <row r="31" ht="15.75" customHeight="1" s="42"/>
    <row r="32" ht="15.75" customHeight="1" s="42"/>
    <row r="33" ht="15.75" customHeight="1" s="42"/>
    <row r="34" ht="15.75" customHeight="1" s="42"/>
    <row r="35" ht="15.75" customHeight="1" s="42"/>
    <row r="36" ht="15.75" customHeight="1" s="42"/>
    <row r="37" ht="15.75" customHeight="1" s="42"/>
    <row r="38" ht="15.75" customHeight="1" s="42"/>
    <row r="39" ht="15.75" customHeight="1" s="42"/>
    <row r="40" ht="15.75" customHeight="1" s="42"/>
    <row r="41" ht="15.75" customHeight="1" s="42"/>
    <row r="42" ht="15.75" customHeight="1" s="42"/>
    <row r="43" ht="15.75" customHeight="1" s="42"/>
    <row r="44" ht="15.75" customHeight="1" s="42"/>
    <row r="45" ht="15.75" customHeight="1" s="42"/>
    <row r="46" ht="15.75" customHeight="1" s="42"/>
    <row r="47" ht="15.75" customHeight="1" s="42"/>
    <row r="48" ht="15.75" customHeight="1" s="42"/>
    <row r="49" ht="15.75" customHeight="1" s="42"/>
    <row r="50" ht="15.75" customHeight="1" s="42"/>
    <row r="51" ht="15.75" customHeight="1" s="42"/>
    <row r="52" ht="15.75" customHeight="1" s="42"/>
    <row r="53" ht="15.75" customHeight="1" s="42"/>
    <row r="54" ht="15.75" customHeight="1" s="42"/>
    <row r="55" ht="15.75" customHeight="1" s="42"/>
    <row r="56" ht="15.75" customHeight="1" s="42"/>
    <row r="57" ht="15.75" customHeight="1" s="42"/>
    <row r="58" ht="15.75" customHeight="1" s="42"/>
    <row r="59" ht="15.75" customHeight="1" s="42"/>
    <row r="60" ht="15.75" customHeight="1" s="42"/>
    <row r="61" ht="15.75" customHeight="1" s="42"/>
    <row r="62" ht="15.75" customHeight="1" s="42"/>
    <row r="63" ht="15.75" customHeight="1" s="42"/>
    <row r="64" ht="15.75" customHeight="1" s="42"/>
    <row r="65" ht="15.75" customHeight="1" s="42"/>
    <row r="66" ht="15.75" customHeight="1" s="42"/>
    <row r="67" ht="15.75" customHeight="1" s="42"/>
    <row r="68" ht="15.75" customHeight="1" s="42"/>
    <row r="69" ht="15.75" customHeight="1" s="42"/>
    <row r="70" ht="15.75" customHeight="1" s="42"/>
    <row r="71" ht="15.75" customHeight="1" s="42"/>
    <row r="72" ht="15.75" customHeight="1" s="42"/>
    <row r="73" ht="15.75" customHeight="1" s="42"/>
    <row r="74" ht="15.75" customHeight="1" s="42"/>
    <row r="75" ht="15.75" customHeight="1" s="42"/>
    <row r="76" ht="15.75" customHeight="1" s="42"/>
    <row r="77" ht="15.75" customHeight="1" s="42"/>
    <row r="78" ht="15.75" customHeight="1" s="42"/>
    <row r="79" ht="15.75" customHeight="1" s="42"/>
    <row r="80" ht="15.75" customHeight="1" s="42"/>
    <row r="81" ht="15.75" customHeight="1" s="42"/>
    <row r="82" ht="15.75" customHeight="1" s="42"/>
    <row r="83" ht="15.75" customHeight="1" s="42"/>
    <row r="84" ht="15.75" customHeight="1" s="42"/>
    <row r="85" ht="15.75" customHeight="1" s="42"/>
    <row r="86" ht="15.75" customHeight="1" s="42"/>
    <row r="87" ht="15.75" customHeight="1" s="42"/>
    <row r="88" ht="15.75" customHeight="1" s="42"/>
    <row r="89" ht="15.75" customHeight="1" s="42"/>
    <row r="90" ht="15.75" customHeight="1" s="42"/>
    <row r="91" ht="15.75" customHeight="1" s="42"/>
    <row r="92" ht="15.75" customHeight="1" s="42"/>
    <row r="93" ht="15.75" customHeight="1" s="42"/>
    <row r="94" ht="15.75" customHeight="1" s="42"/>
    <row r="95" ht="15.75" customHeight="1" s="42"/>
    <row r="96" ht="15.75" customHeight="1" s="42"/>
    <row r="97" ht="15.75" customHeight="1" s="42"/>
    <row r="98" ht="15.75" customHeight="1" s="42"/>
    <row r="99" ht="15.75" customHeight="1" s="42"/>
    <row r="100" ht="15.75" customHeight="1" s="42"/>
    <row r="101" ht="15.75" customHeight="1" s="42"/>
    <row r="102" ht="15.75" customHeight="1" s="42"/>
    <row r="103" ht="15.75" customHeight="1" s="42"/>
    <row r="104" ht="15.75" customHeight="1" s="42"/>
    <row r="105" ht="15.75" customHeight="1" s="42"/>
    <row r="106" ht="15.75" customHeight="1" s="42"/>
    <row r="107" ht="15.75" customHeight="1" s="42"/>
    <row r="108" ht="15.75" customHeight="1" s="42"/>
    <row r="109" ht="15.75" customHeight="1" s="42"/>
    <row r="110" ht="15.75" customHeight="1" s="42"/>
    <row r="111" ht="15.75" customHeight="1" s="42"/>
    <row r="112" ht="15.75" customHeight="1" s="42"/>
    <row r="113" ht="15.75" customHeight="1" s="42"/>
    <row r="114" ht="15.75" customHeight="1" s="42"/>
    <row r="115" ht="15.75" customHeight="1" s="42"/>
    <row r="116" ht="15.75" customHeight="1" s="42"/>
    <row r="117" ht="15.75" customHeight="1" s="42"/>
    <row r="118" ht="15.75" customHeight="1" s="42"/>
    <row r="119" ht="15.75" customHeight="1" s="42"/>
    <row r="120" ht="15.75" customHeight="1" s="42"/>
    <row r="121" ht="15.75" customHeight="1" s="42"/>
    <row r="122" ht="15.75" customHeight="1" s="42"/>
    <row r="123" ht="15.75" customHeight="1" s="42"/>
    <row r="124" ht="15.75" customHeight="1" s="42"/>
    <row r="125" ht="15.75" customHeight="1" s="42"/>
    <row r="126" ht="15.75" customHeight="1" s="42"/>
    <row r="127" ht="15.75" customHeight="1" s="42"/>
    <row r="128" ht="15.75" customHeight="1" s="42"/>
    <row r="129" ht="15.75" customHeight="1" s="42"/>
    <row r="130" ht="15.75" customHeight="1" s="42"/>
    <row r="131" ht="15.75" customHeight="1" s="42"/>
    <row r="132" ht="15.75" customHeight="1" s="42"/>
    <row r="133" ht="15.75" customHeight="1" s="42"/>
    <row r="134" ht="15.75" customHeight="1" s="42"/>
    <row r="135" ht="15.75" customHeight="1" s="42"/>
    <row r="136" ht="15.75" customHeight="1" s="42"/>
    <row r="137" ht="15.75" customHeight="1" s="42"/>
    <row r="138" ht="15.75" customHeight="1" s="42"/>
    <row r="139" ht="15.75" customHeight="1" s="42"/>
    <row r="140" ht="15.75" customHeight="1" s="42"/>
    <row r="141" ht="15.75" customHeight="1" s="42"/>
    <row r="142" ht="15.75" customHeight="1" s="42"/>
    <row r="143" ht="15.75" customHeight="1" s="42"/>
    <row r="144" ht="15.75" customHeight="1" s="42"/>
    <row r="145" ht="15.75" customHeight="1" s="42"/>
    <row r="146" ht="15.75" customHeight="1" s="42"/>
    <row r="147" ht="15.75" customHeight="1" s="42"/>
    <row r="148" ht="15.75" customHeight="1" s="42"/>
    <row r="149" ht="15.75" customHeight="1" s="42"/>
    <row r="150" ht="15.75" customHeight="1" s="42"/>
    <row r="151" ht="15.75" customHeight="1" s="42"/>
    <row r="152" ht="15.75" customHeight="1" s="42"/>
    <row r="153" ht="15.75" customHeight="1" s="42"/>
    <row r="154" ht="15.75" customHeight="1" s="42"/>
    <row r="155" ht="15.75" customHeight="1" s="42"/>
    <row r="156" ht="15.75" customHeight="1" s="42"/>
    <row r="157" ht="15.75" customHeight="1" s="42"/>
    <row r="158" ht="15.75" customHeight="1" s="42"/>
    <row r="159" ht="15.75" customHeight="1" s="42"/>
    <row r="160" ht="15.75" customHeight="1" s="42"/>
    <row r="161" ht="15.75" customHeight="1" s="42"/>
    <row r="162" ht="15.75" customHeight="1" s="42"/>
    <row r="163" ht="15.75" customHeight="1" s="42"/>
    <row r="164" ht="15.75" customHeight="1" s="42"/>
    <row r="165" ht="15.75" customHeight="1" s="42"/>
    <row r="166" ht="15.75" customHeight="1" s="42"/>
    <row r="167" ht="15.75" customHeight="1" s="42"/>
    <row r="168" ht="15.75" customHeight="1" s="42"/>
    <row r="169" ht="15.75" customHeight="1" s="42"/>
    <row r="170" ht="15.75" customHeight="1" s="42"/>
    <row r="171" ht="15.75" customHeight="1" s="42"/>
    <row r="172" ht="15.75" customHeight="1" s="42"/>
    <row r="173" ht="15.75" customHeight="1" s="42"/>
    <row r="174" ht="15.75" customHeight="1" s="42"/>
    <row r="175" ht="15.75" customHeight="1" s="42"/>
    <row r="176" ht="15.75" customHeight="1" s="42"/>
    <row r="177" ht="15.75" customHeight="1" s="42"/>
    <row r="178" ht="15.75" customHeight="1" s="42"/>
    <row r="179" ht="15.75" customHeight="1" s="42"/>
    <row r="180" ht="15.75" customHeight="1" s="42"/>
    <row r="181" ht="15.75" customHeight="1" s="42"/>
    <row r="182" ht="15.75" customHeight="1" s="42"/>
    <row r="183" ht="15.75" customHeight="1" s="42"/>
    <row r="184" ht="15.75" customHeight="1" s="42"/>
    <row r="185" ht="15.75" customHeight="1" s="42"/>
    <row r="186" ht="15.75" customHeight="1" s="42"/>
    <row r="187" ht="15.75" customHeight="1" s="42"/>
    <row r="188" ht="15.75" customHeight="1" s="42"/>
    <row r="189" ht="15.75" customHeight="1" s="42"/>
    <row r="190" ht="15.75" customHeight="1" s="42"/>
    <row r="191" ht="15.75" customHeight="1" s="42"/>
    <row r="192" ht="15.75" customHeight="1" s="42"/>
    <row r="193" ht="15.75" customHeight="1" s="42"/>
    <row r="194" ht="15.75" customHeight="1" s="42"/>
    <row r="195" ht="15.75" customHeight="1" s="42"/>
    <row r="196" ht="15.75" customHeight="1" s="42"/>
    <row r="197" ht="15.75" customHeight="1" s="42"/>
    <row r="198" ht="15.75" customHeight="1" s="42"/>
    <row r="199" ht="15.75" customHeight="1" s="42"/>
    <row r="200" ht="15.75" customHeight="1" s="42"/>
    <row r="201" ht="15.75" customHeight="1" s="42"/>
    <row r="202" ht="15.75" customHeight="1" s="42"/>
    <row r="203" ht="15.75" customHeight="1" s="42"/>
    <row r="204" ht="15.75" customHeight="1" s="42"/>
    <row r="205" ht="15.75" customHeight="1" s="42"/>
    <row r="206" ht="15.75" customHeight="1" s="42"/>
    <row r="207" ht="15.75" customHeight="1" s="42"/>
    <row r="208" ht="15.75" customHeight="1" s="42"/>
    <row r="209" ht="15.75" customHeight="1" s="42"/>
    <row r="210" ht="15.75" customHeight="1" s="42"/>
    <row r="211" ht="15.75" customHeight="1" s="42"/>
    <row r="212" ht="15.75" customHeight="1" s="42"/>
    <row r="213" ht="15.75" customHeight="1" s="42"/>
    <row r="214" ht="15.75" customHeight="1" s="42"/>
    <row r="215" ht="15.75" customHeight="1" s="42"/>
    <row r="216" ht="15.75" customHeight="1" s="42"/>
    <row r="217" ht="15.75" customHeight="1" s="42"/>
    <row r="218" ht="15.75" customHeight="1" s="42"/>
    <row r="219" ht="15.75" customHeight="1" s="42"/>
    <row r="220" ht="15.75" customHeight="1" s="42"/>
    <row r="221" ht="15.75" customHeight="1" s="42"/>
    <row r="222" ht="15.75" customHeight="1" s="42"/>
    <row r="223" ht="15.75" customHeight="1" s="42"/>
    <row r="224" ht="15.75" customHeight="1" s="42"/>
    <row r="225" ht="15.75" customHeight="1" s="42"/>
    <row r="226" ht="15.75" customHeight="1" s="42"/>
    <row r="227" ht="15.75" customHeight="1" s="42"/>
    <row r="228" ht="15.75" customHeight="1" s="42"/>
    <row r="229" ht="15.75" customHeight="1" s="42"/>
    <row r="230" ht="15.75" customHeight="1" s="42"/>
    <row r="231" ht="15.75" customHeight="1" s="42"/>
    <row r="232" ht="15.75" customHeight="1" s="42"/>
    <row r="233" ht="15.75" customHeight="1" s="42"/>
    <row r="234" ht="15.75" customHeight="1" s="42"/>
    <row r="235" ht="15.75" customHeight="1" s="42"/>
    <row r="236" ht="15.75" customHeight="1" s="42"/>
    <row r="237" ht="15.75" customHeight="1" s="42"/>
    <row r="238" ht="15.75" customHeight="1" s="42"/>
    <row r="239" ht="15.75" customHeight="1" s="42"/>
    <row r="240" ht="15.75" customHeight="1" s="42"/>
    <row r="241" ht="15.75" customHeight="1" s="42"/>
    <row r="242" ht="15.75" customHeight="1" s="42"/>
    <row r="243" ht="15.75" customHeight="1" s="42"/>
    <row r="244" ht="15.75" customHeight="1" s="42"/>
    <row r="245" ht="15.75" customHeight="1" s="42"/>
    <row r="246" ht="15.75" customHeight="1" s="42"/>
    <row r="247" ht="15.75" customHeight="1" s="42"/>
    <row r="248" ht="15.75" customHeight="1" s="42"/>
    <row r="249" ht="15.75" customHeight="1" s="42"/>
    <row r="250" ht="15.75" customHeight="1" s="42"/>
    <row r="251" ht="15.75" customHeight="1" s="42"/>
    <row r="252" ht="15.75" customHeight="1" s="42"/>
    <row r="253" ht="15.75" customHeight="1" s="42"/>
    <row r="254" ht="15.75" customHeight="1" s="42"/>
    <row r="255" ht="15.75" customHeight="1" s="42"/>
    <row r="256" ht="15.75" customHeight="1" s="42"/>
    <row r="257" ht="15.75" customHeight="1" s="42"/>
    <row r="258" ht="15.75" customHeight="1" s="42"/>
    <row r="259" ht="15.75" customHeight="1" s="42"/>
    <row r="260" ht="15.75" customHeight="1" s="42"/>
    <row r="261" ht="15.75" customHeight="1" s="42"/>
    <row r="262" ht="15.75" customHeight="1" s="42"/>
    <row r="263" ht="15.75" customHeight="1" s="42"/>
    <row r="264" ht="15.75" customHeight="1" s="42"/>
    <row r="265" ht="15.75" customHeight="1" s="42"/>
    <row r="266" ht="15.75" customHeight="1" s="42"/>
    <row r="267" ht="15.75" customHeight="1" s="42"/>
    <row r="268" ht="15.75" customHeight="1" s="42"/>
    <row r="269" ht="15.75" customHeight="1" s="42"/>
    <row r="270" ht="15.75" customHeight="1" s="42"/>
    <row r="271" ht="15.75" customHeight="1" s="42"/>
    <row r="272" ht="15.75" customHeight="1" s="42"/>
    <row r="273" ht="15.75" customHeight="1" s="42"/>
    <row r="274" ht="15.75" customHeight="1" s="42"/>
    <row r="275" ht="15.75" customHeight="1" s="42"/>
    <row r="276" ht="15.75" customHeight="1" s="42"/>
    <row r="277" ht="15.75" customHeight="1" s="42"/>
    <row r="278" ht="15.75" customHeight="1" s="42"/>
    <row r="279" ht="15.75" customHeight="1" s="42"/>
    <row r="280" ht="15.75" customHeight="1" s="42"/>
    <row r="281" ht="15.75" customHeight="1" s="42"/>
    <row r="282" ht="15.75" customHeight="1" s="42"/>
    <row r="283" ht="15.75" customHeight="1" s="42"/>
    <row r="284" ht="15.75" customHeight="1" s="42"/>
    <row r="285" ht="15.75" customHeight="1" s="42"/>
    <row r="286" ht="15.75" customHeight="1" s="42"/>
    <row r="287" ht="15.75" customHeight="1" s="42"/>
    <row r="288" ht="15.75" customHeight="1" s="42"/>
    <row r="289" ht="15.75" customHeight="1" s="42"/>
    <row r="290" ht="15.75" customHeight="1" s="42"/>
    <row r="291" ht="15.75" customHeight="1" s="42"/>
    <row r="292" ht="15.75" customHeight="1" s="42"/>
    <row r="293" ht="15.75" customHeight="1" s="42"/>
    <row r="294" ht="15.75" customHeight="1" s="42"/>
    <row r="295" ht="15.75" customHeight="1" s="42"/>
    <row r="296" ht="15.75" customHeight="1" s="42"/>
    <row r="297" ht="15.75" customHeight="1" s="42"/>
    <row r="298" ht="15.75" customHeight="1" s="42"/>
    <row r="299" ht="15.75" customHeight="1" s="42"/>
    <row r="300" ht="15.75" customHeight="1" s="42"/>
    <row r="301" ht="15.75" customHeight="1" s="42"/>
    <row r="302" ht="15.75" customHeight="1" s="42"/>
    <row r="303" ht="15.75" customHeight="1" s="42"/>
    <row r="304" ht="15.75" customHeight="1" s="42"/>
    <row r="305" ht="15.75" customHeight="1" s="42"/>
    <row r="306" ht="15.75" customHeight="1" s="42"/>
    <row r="307" ht="15.75" customHeight="1" s="42"/>
    <row r="308" ht="15.75" customHeight="1" s="42"/>
    <row r="309" ht="15.75" customHeight="1" s="42"/>
    <row r="310" ht="15.75" customHeight="1" s="42"/>
    <row r="311" ht="15.75" customHeight="1" s="42"/>
    <row r="312" ht="15.75" customHeight="1" s="42"/>
    <row r="313" ht="15.75" customHeight="1" s="42"/>
    <row r="314" ht="15.75" customHeight="1" s="42"/>
    <row r="315" ht="15.75" customHeight="1" s="42"/>
    <row r="316" ht="15.75" customHeight="1" s="42"/>
    <row r="317" ht="15.75" customHeight="1" s="42"/>
    <row r="318" ht="15.75" customHeight="1" s="42"/>
    <row r="319" ht="15.75" customHeight="1" s="42"/>
    <row r="320" ht="15.75" customHeight="1" s="42"/>
    <row r="321" ht="15.75" customHeight="1" s="42"/>
    <row r="322" ht="15.75" customHeight="1" s="42"/>
    <row r="323" ht="15.75" customHeight="1" s="42"/>
    <row r="324" ht="15.75" customHeight="1" s="42"/>
    <row r="325" ht="15.75" customHeight="1" s="42"/>
    <row r="326" ht="15.75" customHeight="1" s="42"/>
    <row r="327" ht="15.75" customHeight="1" s="42"/>
    <row r="328" ht="15.75" customHeight="1" s="42"/>
    <row r="329" ht="15.75" customHeight="1" s="42"/>
    <row r="330" ht="15.75" customHeight="1" s="42"/>
    <row r="331" ht="15.75" customHeight="1" s="42"/>
    <row r="332" ht="15.75" customHeight="1" s="42"/>
    <row r="333" ht="15.75" customHeight="1" s="42"/>
    <row r="334" ht="15.75" customHeight="1" s="42"/>
    <row r="335" ht="15.75" customHeight="1" s="42"/>
    <row r="336" ht="15.75" customHeight="1" s="42"/>
    <row r="337" ht="15.75" customHeight="1" s="42"/>
    <row r="338" ht="15.75" customHeight="1" s="42"/>
    <row r="339" ht="15.75" customHeight="1" s="42"/>
    <row r="340" ht="15.75" customHeight="1" s="42"/>
    <row r="341" ht="15.75" customHeight="1" s="42"/>
    <row r="342" ht="15.75" customHeight="1" s="42"/>
    <row r="343" ht="15.75" customHeight="1" s="42"/>
    <row r="344" ht="15.75" customHeight="1" s="42"/>
    <row r="345" ht="15.75" customHeight="1" s="42"/>
    <row r="346" ht="15.75" customHeight="1" s="42"/>
    <row r="347" ht="15.75" customHeight="1" s="42"/>
    <row r="348" ht="15.75" customHeight="1" s="42"/>
    <row r="349" ht="15.75" customHeight="1" s="42"/>
    <row r="350" ht="15.75" customHeight="1" s="42"/>
    <row r="351" ht="15.75" customHeight="1" s="42"/>
    <row r="352" ht="15.75" customHeight="1" s="42"/>
    <row r="353" ht="15.75" customHeight="1" s="42"/>
    <row r="354" ht="15.75" customHeight="1" s="42"/>
    <row r="355" ht="15.75" customHeight="1" s="42"/>
    <row r="356" ht="15.75" customHeight="1" s="42"/>
    <row r="357" ht="15.75" customHeight="1" s="42"/>
    <row r="358" ht="15.75" customHeight="1" s="42"/>
    <row r="359" ht="15.75" customHeight="1" s="42"/>
    <row r="360" ht="15.75" customHeight="1" s="42"/>
    <row r="361" ht="15.75" customHeight="1" s="42"/>
    <row r="362" ht="15.75" customHeight="1" s="42"/>
    <row r="363" ht="15.75" customHeight="1" s="42"/>
    <row r="364" ht="15.75" customHeight="1" s="42"/>
    <row r="365" ht="15.75" customHeight="1" s="42"/>
    <row r="366" ht="15.75" customHeight="1" s="42"/>
    <row r="367" ht="15.75" customHeight="1" s="42"/>
    <row r="368" ht="15.75" customHeight="1" s="42"/>
    <row r="369" ht="15.75" customHeight="1" s="42"/>
    <row r="370" ht="15.75" customHeight="1" s="42"/>
    <row r="371" ht="15.75" customHeight="1" s="42"/>
    <row r="372" ht="15.75" customHeight="1" s="42"/>
    <row r="373" ht="15.75" customHeight="1" s="42"/>
    <row r="374" ht="15.75" customHeight="1" s="42"/>
    <row r="375" ht="15.75" customHeight="1" s="42"/>
    <row r="376" ht="15.75" customHeight="1" s="42"/>
    <row r="377" ht="15.75" customHeight="1" s="42"/>
    <row r="378" ht="15.75" customHeight="1" s="42"/>
    <row r="379" ht="15.75" customHeight="1" s="42"/>
    <row r="380" ht="15.75" customHeight="1" s="42"/>
    <row r="381" ht="15.75" customHeight="1" s="42"/>
    <row r="382" ht="15.75" customHeight="1" s="42"/>
    <row r="383" ht="15.75" customHeight="1" s="42"/>
    <row r="384" ht="15.75" customHeight="1" s="42"/>
    <row r="385" ht="15.75" customHeight="1" s="42"/>
    <row r="386" ht="15.75" customHeight="1" s="42"/>
    <row r="387" ht="15.75" customHeight="1" s="42"/>
    <row r="388" ht="15.75" customHeight="1" s="42"/>
    <row r="389" ht="15.75" customHeight="1" s="42"/>
    <row r="390" ht="15.75" customHeight="1" s="42"/>
    <row r="391" ht="15.75" customHeight="1" s="42"/>
    <row r="392" ht="15.75" customHeight="1" s="42"/>
    <row r="393" ht="15.75" customHeight="1" s="42"/>
    <row r="394" ht="15.75" customHeight="1" s="42"/>
    <row r="395" ht="15.75" customHeight="1" s="42"/>
    <row r="396" ht="15.75" customHeight="1" s="42"/>
    <row r="397" ht="15.75" customHeight="1" s="42"/>
    <row r="398" ht="15.75" customHeight="1" s="42"/>
    <row r="399" ht="15.75" customHeight="1" s="42"/>
    <row r="400" ht="15.75" customHeight="1" s="42"/>
    <row r="401" ht="15.75" customHeight="1" s="42"/>
    <row r="402" ht="15.75" customHeight="1" s="42"/>
    <row r="403" ht="15.75" customHeight="1" s="42"/>
    <row r="404" ht="15.75" customHeight="1" s="42"/>
    <row r="405" ht="15.75" customHeight="1" s="42"/>
    <row r="406" ht="15.75" customHeight="1" s="42"/>
    <row r="407" ht="15.75" customHeight="1" s="42"/>
    <row r="408" ht="15.75" customHeight="1" s="42"/>
    <row r="409" ht="15.75" customHeight="1" s="42"/>
    <row r="410" ht="15.75" customHeight="1" s="42"/>
    <row r="411" ht="15.75" customHeight="1" s="42"/>
    <row r="412" ht="15.75" customHeight="1" s="42"/>
    <row r="413" ht="15.75" customHeight="1" s="42"/>
    <row r="414" ht="15.75" customHeight="1" s="42"/>
    <row r="415" ht="15.75" customHeight="1" s="42"/>
    <row r="416" ht="15.75" customHeight="1" s="42"/>
    <row r="417" ht="15.75" customHeight="1" s="42"/>
    <row r="418" ht="15.75" customHeight="1" s="42"/>
    <row r="419" ht="15.75" customHeight="1" s="42"/>
    <row r="420" ht="15.75" customHeight="1" s="42"/>
    <row r="421" ht="15.75" customHeight="1" s="42"/>
    <row r="422" ht="15.75" customHeight="1" s="42"/>
    <row r="423" ht="15.75" customHeight="1" s="42"/>
    <row r="424" ht="15.75" customHeight="1" s="42"/>
    <row r="425" ht="15.75" customHeight="1" s="42"/>
    <row r="426" ht="15.75" customHeight="1" s="42"/>
    <row r="427" ht="15.75" customHeight="1" s="42"/>
    <row r="428" ht="15.75" customHeight="1" s="42"/>
    <row r="429" ht="15.75" customHeight="1" s="42"/>
    <row r="430" ht="15.75" customHeight="1" s="42"/>
    <row r="431" ht="15.75" customHeight="1" s="42"/>
    <row r="432" ht="15.75" customHeight="1" s="42"/>
    <row r="433" ht="15.75" customHeight="1" s="42"/>
    <row r="434" ht="15.75" customHeight="1" s="42"/>
    <row r="435" ht="15.75" customHeight="1" s="42"/>
    <row r="436" ht="15.75" customHeight="1" s="42"/>
    <row r="437" ht="15.75" customHeight="1" s="42"/>
    <row r="438" ht="15.75" customHeight="1" s="42"/>
    <row r="439" ht="15.75" customHeight="1" s="42"/>
    <row r="440" ht="15.75" customHeight="1" s="42"/>
    <row r="441" ht="15.75" customHeight="1" s="42"/>
    <row r="442" ht="15.75" customHeight="1" s="42"/>
    <row r="443" ht="15.75" customHeight="1" s="42"/>
    <row r="444" ht="15.75" customHeight="1" s="42"/>
    <row r="445" ht="15.75" customHeight="1" s="42"/>
    <row r="446" ht="15.75" customHeight="1" s="42"/>
    <row r="447" ht="15.75" customHeight="1" s="42"/>
    <row r="448" ht="15.75" customHeight="1" s="42"/>
    <row r="449" ht="15.75" customHeight="1" s="42"/>
    <row r="450" ht="15.75" customHeight="1" s="42"/>
    <row r="451" ht="15.75" customHeight="1" s="42"/>
    <row r="452" ht="15.75" customHeight="1" s="42"/>
    <row r="453" ht="15.75" customHeight="1" s="42"/>
    <row r="454" ht="15.75" customHeight="1" s="42"/>
    <row r="455" ht="15.75" customHeight="1" s="42"/>
    <row r="456" ht="15.75" customHeight="1" s="42"/>
    <row r="457" ht="15.75" customHeight="1" s="42"/>
    <row r="458" ht="15.75" customHeight="1" s="42"/>
    <row r="459" ht="15.75" customHeight="1" s="42"/>
    <row r="460" ht="15.75" customHeight="1" s="42"/>
    <row r="461" ht="15.75" customHeight="1" s="42"/>
    <row r="462" ht="15.75" customHeight="1" s="42"/>
    <row r="463" ht="15.75" customHeight="1" s="42"/>
    <row r="464" ht="15.75" customHeight="1" s="42"/>
    <row r="465" ht="15.75" customHeight="1" s="42"/>
    <row r="466" ht="15.75" customHeight="1" s="42"/>
    <row r="467" ht="15.75" customHeight="1" s="42"/>
    <row r="468" ht="15.75" customHeight="1" s="42"/>
    <row r="469" ht="15.75" customHeight="1" s="42"/>
    <row r="470" ht="15.75" customHeight="1" s="42"/>
    <row r="471" ht="15.75" customHeight="1" s="42"/>
    <row r="472" ht="15.75" customHeight="1" s="42"/>
    <row r="473" ht="15.75" customHeight="1" s="42"/>
    <row r="474" ht="15.75" customHeight="1" s="42"/>
    <row r="475" ht="15.75" customHeight="1" s="42"/>
    <row r="476" ht="15.75" customHeight="1" s="42"/>
    <row r="477" ht="15.75" customHeight="1" s="42"/>
    <row r="478" ht="15.75" customHeight="1" s="42"/>
    <row r="479" ht="15.75" customHeight="1" s="42"/>
    <row r="480" ht="15.75" customHeight="1" s="42"/>
    <row r="481" ht="15.75" customHeight="1" s="42"/>
    <row r="482" ht="15.75" customHeight="1" s="42"/>
    <row r="483" ht="15.75" customHeight="1" s="42"/>
    <row r="484" ht="15.75" customHeight="1" s="42"/>
    <row r="485" ht="15.75" customHeight="1" s="42"/>
    <row r="486" ht="15.75" customHeight="1" s="42"/>
    <row r="487" ht="15.75" customHeight="1" s="42"/>
    <row r="488" ht="15.75" customHeight="1" s="42"/>
    <row r="489" ht="15.75" customHeight="1" s="42"/>
    <row r="490" ht="15.75" customHeight="1" s="42"/>
    <row r="491" ht="15.75" customHeight="1" s="42"/>
    <row r="492" ht="15.75" customHeight="1" s="42"/>
    <row r="493" ht="15.75" customHeight="1" s="42"/>
    <row r="494" ht="15.75" customHeight="1" s="42"/>
    <row r="495" ht="15.75" customHeight="1" s="42"/>
    <row r="496" ht="15.75" customHeight="1" s="42"/>
    <row r="497" ht="15.75" customHeight="1" s="42"/>
    <row r="498" ht="15.75" customHeight="1" s="42"/>
    <row r="499" ht="15.75" customHeight="1" s="42"/>
    <row r="500" ht="15.75" customHeight="1" s="42"/>
    <row r="501" ht="15.75" customHeight="1" s="42"/>
    <row r="502" ht="15.75" customHeight="1" s="42"/>
    <row r="503" ht="15.75" customHeight="1" s="42"/>
    <row r="504" ht="15.75" customHeight="1" s="42"/>
    <row r="505" ht="15.75" customHeight="1" s="42"/>
    <row r="506" ht="15.75" customHeight="1" s="42"/>
    <row r="507" ht="15.75" customHeight="1" s="42"/>
    <row r="508" ht="15.75" customHeight="1" s="42"/>
    <row r="509" ht="15.75" customHeight="1" s="42"/>
    <row r="510" ht="15.75" customHeight="1" s="42"/>
    <row r="511" ht="15.75" customHeight="1" s="42"/>
    <row r="512" ht="15.75" customHeight="1" s="42"/>
    <row r="513" ht="15.75" customHeight="1" s="42"/>
    <row r="514" ht="15.75" customHeight="1" s="42"/>
    <row r="515" ht="15.75" customHeight="1" s="42"/>
    <row r="516" ht="15.75" customHeight="1" s="42"/>
    <row r="517" ht="15.75" customHeight="1" s="42"/>
    <row r="518" ht="15.75" customHeight="1" s="42"/>
    <row r="519" ht="15.75" customHeight="1" s="42"/>
    <row r="520" ht="15.75" customHeight="1" s="42"/>
    <row r="521" ht="15.75" customHeight="1" s="42"/>
    <row r="522" ht="15.75" customHeight="1" s="42"/>
    <row r="523" ht="15.75" customHeight="1" s="42"/>
    <row r="524" ht="15.75" customHeight="1" s="42"/>
    <row r="525" ht="15.75" customHeight="1" s="42"/>
    <row r="526" ht="15.75" customHeight="1" s="42"/>
    <row r="527" ht="15.75" customHeight="1" s="42"/>
    <row r="528" ht="15.75" customHeight="1" s="42"/>
    <row r="529" ht="15.75" customHeight="1" s="42"/>
    <row r="530" ht="15.75" customHeight="1" s="42"/>
    <row r="531" ht="15.75" customHeight="1" s="42"/>
    <row r="532" ht="15.75" customHeight="1" s="42"/>
    <row r="533" ht="15.75" customHeight="1" s="42"/>
    <row r="534" ht="15.75" customHeight="1" s="42"/>
    <row r="535" ht="15.75" customHeight="1" s="42"/>
    <row r="536" ht="15.75" customHeight="1" s="42"/>
    <row r="537" ht="15.75" customHeight="1" s="42"/>
    <row r="538" ht="15.75" customHeight="1" s="42"/>
    <row r="539" ht="15.75" customHeight="1" s="42"/>
    <row r="540" ht="15.75" customHeight="1" s="42"/>
    <row r="541" ht="15.75" customHeight="1" s="42"/>
    <row r="542" ht="15.75" customHeight="1" s="42"/>
    <row r="543" ht="15.75" customHeight="1" s="42"/>
    <row r="544" ht="15.75" customHeight="1" s="42"/>
    <row r="545" ht="15.75" customHeight="1" s="42"/>
    <row r="546" ht="15.75" customHeight="1" s="42"/>
    <row r="547" ht="15.75" customHeight="1" s="42"/>
    <row r="548" ht="15.75" customHeight="1" s="42"/>
    <row r="549" ht="15.75" customHeight="1" s="42"/>
    <row r="550" ht="15.75" customHeight="1" s="42"/>
    <row r="551" ht="15.75" customHeight="1" s="42"/>
    <row r="552" ht="15.75" customHeight="1" s="42"/>
    <row r="553" ht="15.75" customHeight="1" s="42"/>
    <row r="554" ht="15.75" customHeight="1" s="42"/>
    <row r="555" ht="15.75" customHeight="1" s="42"/>
    <row r="556" ht="15.75" customHeight="1" s="42"/>
    <row r="557" ht="15.75" customHeight="1" s="42"/>
    <row r="558" ht="15.75" customHeight="1" s="42"/>
    <row r="559" ht="15.75" customHeight="1" s="42"/>
    <row r="560" ht="15.75" customHeight="1" s="42"/>
    <row r="561" ht="15.75" customHeight="1" s="42"/>
    <row r="562" ht="15.75" customHeight="1" s="42"/>
    <row r="563" ht="15.75" customHeight="1" s="42"/>
    <row r="564" ht="15.75" customHeight="1" s="42"/>
    <row r="565" ht="15.75" customHeight="1" s="42"/>
    <row r="566" ht="15.75" customHeight="1" s="42"/>
    <row r="567" ht="15.75" customHeight="1" s="42"/>
    <row r="568" ht="15.75" customHeight="1" s="42"/>
    <row r="569" ht="15.75" customHeight="1" s="42"/>
    <row r="570" ht="15.75" customHeight="1" s="42"/>
    <row r="571" ht="15.75" customHeight="1" s="42"/>
    <row r="572" ht="15.75" customHeight="1" s="42"/>
    <row r="573" ht="15.75" customHeight="1" s="42"/>
    <row r="574" ht="15.75" customHeight="1" s="42"/>
    <row r="575" ht="15.75" customHeight="1" s="42"/>
    <row r="576" ht="15.75" customHeight="1" s="42"/>
    <row r="577" ht="15.75" customHeight="1" s="42"/>
    <row r="578" ht="15.75" customHeight="1" s="42"/>
    <row r="579" ht="15.75" customHeight="1" s="42"/>
    <row r="580" ht="15.75" customHeight="1" s="42"/>
    <row r="581" ht="15.75" customHeight="1" s="42"/>
    <row r="582" ht="15.75" customHeight="1" s="42"/>
    <row r="583" ht="15.75" customHeight="1" s="42"/>
    <row r="584" ht="15.75" customHeight="1" s="42"/>
    <row r="585" ht="15.75" customHeight="1" s="42"/>
    <row r="586" ht="15.75" customHeight="1" s="42"/>
    <row r="587" ht="15.75" customHeight="1" s="42"/>
    <row r="588" ht="15.75" customHeight="1" s="42"/>
    <row r="589" ht="15.75" customHeight="1" s="42"/>
    <row r="590" ht="15.75" customHeight="1" s="42"/>
    <row r="591" ht="15.75" customHeight="1" s="42"/>
    <row r="592" ht="15.75" customHeight="1" s="42"/>
    <row r="593" ht="15.75" customHeight="1" s="42"/>
    <row r="594" ht="15.75" customHeight="1" s="42"/>
    <row r="595" ht="15.75" customHeight="1" s="42"/>
    <row r="596" ht="15.75" customHeight="1" s="42"/>
    <row r="597" ht="15.75" customHeight="1" s="42"/>
    <row r="598" ht="15.75" customHeight="1" s="42"/>
    <row r="599" ht="15.75" customHeight="1" s="42"/>
    <row r="600" ht="15.75" customHeight="1" s="42"/>
    <row r="601" ht="15.75" customHeight="1" s="42"/>
    <row r="602" ht="15.75" customHeight="1" s="42"/>
    <row r="603" ht="15.75" customHeight="1" s="42"/>
    <row r="604" ht="15.75" customHeight="1" s="42"/>
    <row r="605" ht="15.75" customHeight="1" s="42"/>
    <row r="606" ht="15.75" customHeight="1" s="42"/>
    <row r="607" ht="15.75" customHeight="1" s="42"/>
    <row r="608" ht="15.75" customHeight="1" s="42"/>
    <row r="609" ht="15.75" customHeight="1" s="42"/>
    <row r="610" ht="15.75" customHeight="1" s="42"/>
    <row r="611" ht="15.75" customHeight="1" s="42"/>
    <row r="612" ht="15.75" customHeight="1" s="42"/>
    <row r="613" ht="15.75" customHeight="1" s="42"/>
    <row r="614" ht="15.75" customHeight="1" s="42"/>
    <row r="615" ht="15.75" customHeight="1" s="42"/>
    <row r="616" ht="15.75" customHeight="1" s="42"/>
    <row r="617" ht="15.75" customHeight="1" s="42"/>
    <row r="618" ht="15.75" customHeight="1" s="42"/>
    <row r="619" ht="15.75" customHeight="1" s="42"/>
    <row r="620" ht="15.75" customHeight="1" s="42"/>
    <row r="621" ht="15.75" customHeight="1" s="42"/>
    <row r="622" ht="15.75" customHeight="1" s="42"/>
    <row r="623" ht="15.75" customHeight="1" s="42"/>
    <row r="624" ht="15.75" customHeight="1" s="42"/>
    <row r="625" ht="15.75" customHeight="1" s="42"/>
    <row r="626" ht="15.75" customHeight="1" s="42"/>
    <row r="627" ht="15.75" customHeight="1" s="42"/>
    <row r="628" ht="15.75" customHeight="1" s="42"/>
    <row r="629" ht="15.75" customHeight="1" s="42"/>
    <row r="630" ht="15.75" customHeight="1" s="42"/>
    <row r="631" ht="15.75" customHeight="1" s="42"/>
    <row r="632" ht="15.75" customHeight="1" s="42"/>
    <row r="633" ht="15.75" customHeight="1" s="42"/>
    <row r="634" ht="15.75" customHeight="1" s="42"/>
    <row r="635" ht="15.75" customHeight="1" s="42"/>
    <row r="636" ht="15.75" customHeight="1" s="42"/>
    <row r="637" ht="15.75" customHeight="1" s="42"/>
    <row r="638" ht="15.75" customHeight="1" s="42"/>
    <row r="639" ht="15.75" customHeight="1" s="42"/>
    <row r="640" ht="15.75" customHeight="1" s="42"/>
    <row r="641" ht="15.75" customHeight="1" s="42"/>
    <row r="642" ht="15.75" customHeight="1" s="42"/>
    <row r="643" ht="15.75" customHeight="1" s="42"/>
    <row r="644" ht="15.75" customHeight="1" s="42"/>
    <row r="645" ht="15.75" customHeight="1" s="42"/>
    <row r="646" ht="15.75" customHeight="1" s="42"/>
    <row r="647" ht="15.75" customHeight="1" s="42"/>
    <row r="648" ht="15.75" customHeight="1" s="42"/>
    <row r="649" ht="15.75" customHeight="1" s="42"/>
    <row r="650" ht="15.75" customHeight="1" s="42"/>
    <row r="651" ht="15.75" customHeight="1" s="42"/>
    <row r="652" ht="15.75" customHeight="1" s="42"/>
    <row r="653" ht="15.75" customHeight="1" s="42"/>
    <row r="654" ht="15.75" customHeight="1" s="42"/>
    <row r="655" ht="15.75" customHeight="1" s="42"/>
    <row r="656" ht="15.75" customHeight="1" s="42"/>
    <row r="657" ht="15.75" customHeight="1" s="42"/>
    <row r="658" ht="15.75" customHeight="1" s="42"/>
    <row r="659" ht="15.75" customHeight="1" s="42"/>
    <row r="660" ht="15.75" customHeight="1" s="42"/>
    <row r="661" ht="15.75" customHeight="1" s="42"/>
    <row r="662" ht="15.75" customHeight="1" s="42"/>
    <row r="663" ht="15.75" customHeight="1" s="42"/>
    <row r="664" ht="15.75" customHeight="1" s="42"/>
    <row r="665" ht="15.75" customHeight="1" s="42"/>
    <row r="666" ht="15.75" customHeight="1" s="42"/>
    <row r="667" ht="15.75" customHeight="1" s="42"/>
    <row r="668" ht="15.75" customHeight="1" s="42"/>
    <row r="669" ht="15.75" customHeight="1" s="42"/>
    <row r="670" ht="15.75" customHeight="1" s="42"/>
    <row r="671" ht="15.75" customHeight="1" s="42"/>
    <row r="672" ht="15.75" customHeight="1" s="42"/>
    <row r="673" ht="15.75" customHeight="1" s="42"/>
    <row r="674" ht="15.75" customHeight="1" s="42"/>
    <row r="675" ht="15.75" customHeight="1" s="42"/>
    <row r="676" ht="15.75" customHeight="1" s="42"/>
    <row r="677" ht="15.75" customHeight="1" s="42"/>
    <row r="678" ht="15.75" customHeight="1" s="42"/>
    <row r="679" ht="15.75" customHeight="1" s="42"/>
    <row r="680" ht="15.75" customHeight="1" s="42"/>
    <row r="681" ht="15.75" customHeight="1" s="42"/>
    <row r="682" ht="15.75" customHeight="1" s="42"/>
    <row r="683" ht="15.75" customHeight="1" s="42"/>
    <row r="684" ht="15.75" customHeight="1" s="42"/>
    <row r="685" ht="15.75" customHeight="1" s="42"/>
    <row r="686" ht="15.75" customHeight="1" s="42"/>
    <row r="687" ht="15.75" customHeight="1" s="42"/>
    <row r="688" ht="15.75" customHeight="1" s="42"/>
    <row r="689" ht="15.75" customHeight="1" s="42"/>
    <row r="690" ht="15.75" customHeight="1" s="42"/>
    <row r="691" ht="15.75" customHeight="1" s="42"/>
    <row r="692" ht="15.75" customHeight="1" s="42"/>
    <row r="693" ht="15.75" customHeight="1" s="42"/>
    <row r="694" ht="15.75" customHeight="1" s="42"/>
    <row r="695" ht="15.75" customHeight="1" s="42"/>
    <row r="696" ht="15.75" customHeight="1" s="42"/>
    <row r="697" ht="15.75" customHeight="1" s="42"/>
    <row r="698" ht="15.75" customHeight="1" s="42"/>
    <row r="699" ht="15.75" customHeight="1" s="42"/>
    <row r="700" ht="15.75" customHeight="1" s="42"/>
    <row r="701" ht="15.75" customHeight="1" s="42"/>
    <row r="702" ht="15.75" customHeight="1" s="42"/>
    <row r="703" ht="15.75" customHeight="1" s="42"/>
    <row r="704" ht="15.75" customHeight="1" s="42"/>
    <row r="705" ht="15.75" customHeight="1" s="42"/>
    <row r="706" ht="15.75" customHeight="1" s="42"/>
    <row r="707" ht="15.75" customHeight="1" s="42"/>
    <row r="708" ht="15.75" customHeight="1" s="42"/>
    <row r="709" ht="15.75" customHeight="1" s="42"/>
    <row r="710" ht="15.75" customHeight="1" s="42"/>
    <row r="711" ht="15.75" customHeight="1" s="42"/>
    <row r="712" ht="15.75" customHeight="1" s="42"/>
    <row r="713" ht="15.75" customHeight="1" s="42"/>
    <row r="714" ht="15.75" customHeight="1" s="42"/>
    <row r="715" ht="15.75" customHeight="1" s="42"/>
    <row r="716" ht="15.75" customHeight="1" s="42"/>
    <row r="717" ht="15.75" customHeight="1" s="42"/>
    <row r="718" ht="15.75" customHeight="1" s="42"/>
    <row r="719" ht="15.75" customHeight="1" s="42"/>
    <row r="720" ht="15.75" customHeight="1" s="42"/>
    <row r="721" ht="15.75" customHeight="1" s="42"/>
    <row r="722" ht="15.75" customHeight="1" s="42"/>
    <row r="723" ht="15.75" customHeight="1" s="42"/>
    <row r="724" ht="15.75" customHeight="1" s="42"/>
    <row r="725" ht="15.75" customHeight="1" s="42"/>
    <row r="726" ht="15.75" customHeight="1" s="42"/>
    <row r="727" ht="15.75" customHeight="1" s="42"/>
    <row r="728" ht="15.75" customHeight="1" s="42"/>
    <row r="729" ht="15.75" customHeight="1" s="42"/>
    <row r="730" ht="15.75" customHeight="1" s="42"/>
    <row r="731" ht="15.75" customHeight="1" s="42"/>
    <row r="732" ht="15.75" customHeight="1" s="42"/>
    <row r="733" ht="15.75" customHeight="1" s="42"/>
    <row r="734" ht="15.75" customHeight="1" s="42"/>
    <row r="735" ht="15.75" customHeight="1" s="42"/>
    <row r="736" ht="15.75" customHeight="1" s="42"/>
    <row r="737" ht="15.75" customHeight="1" s="42"/>
    <row r="738" ht="15.75" customHeight="1" s="42"/>
    <row r="739" ht="15.75" customHeight="1" s="42"/>
    <row r="740" ht="15.75" customHeight="1" s="42"/>
    <row r="741" ht="15.75" customHeight="1" s="42"/>
    <row r="742" ht="15.75" customHeight="1" s="42"/>
    <row r="743" ht="15.75" customHeight="1" s="42"/>
    <row r="744" ht="15.75" customHeight="1" s="42"/>
    <row r="745" ht="15.75" customHeight="1" s="42"/>
    <row r="746" ht="15.75" customHeight="1" s="42"/>
    <row r="747" ht="15.75" customHeight="1" s="42"/>
    <row r="748" ht="15.75" customHeight="1" s="42"/>
    <row r="749" ht="15.75" customHeight="1" s="42"/>
    <row r="750" ht="15.75" customHeight="1" s="42"/>
    <row r="751" ht="15.75" customHeight="1" s="42"/>
    <row r="752" ht="15.75" customHeight="1" s="42"/>
    <row r="753" ht="15.75" customHeight="1" s="42"/>
    <row r="754" ht="15.75" customHeight="1" s="42"/>
    <row r="755" ht="15.75" customHeight="1" s="42"/>
    <row r="756" ht="15.75" customHeight="1" s="42"/>
    <row r="757" ht="15.75" customHeight="1" s="42"/>
    <row r="758" ht="15.75" customHeight="1" s="42"/>
    <row r="759" ht="15.75" customHeight="1" s="42"/>
    <row r="760" ht="15.75" customHeight="1" s="42"/>
    <row r="761" ht="15.75" customHeight="1" s="42"/>
    <row r="762" ht="15.75" customHeight="1" s="42"/>
    <row r="763" ht="15.75" customHeight="1" s="42"/>
    <row r="764" ht="15.75" customHeight="1" s="42"/>
    <row r="765" ht="15.75" customHeight="1" s="42"/>
    <row r="766" ht="15.75" customHeight="1" s="42"/>
    <row r="767" ht="15.75" customHeight="1" s="42"/>
    <row r="768" ht="15.75" customHeight="1" s="42"/>
    <row r="769" ht="15.75" customHeight="1" s="42"/>
    <row r="770" ht="15.75" customHeight="1" s="42"/>
    <row r="771" ht="15.75" customHeight="1" s="42"/>
    <row r="772" ht="15.75" customHeight="1" s="42"/>
    <row r="773" ht="15.75" customHeight="1" s="42"/>
    <row r="774" ht="15.75" customHeight="1" s="42"/>
    <row r="775" ht="15.75" customHeight="1" s="42"/>
    <row r="776" ht="15.75" customHeight="1" s="42"/>
    <row r="777" ht="15.75" customHeight="1" s="42"/>
    <row r="778" ht="15.75" customHeight="1" s="42"/>
    <row r="779" ht="15.75" customHeight="1" s="42"/>
    <row r="780" ht="15.75" customHeight="1" s="42"/>
    <row r="781" ht="15.75" customHeight="1" s="42"/>
    <row r="782" ht="15.75" customHeight="1" s="42"/>
    <row r="783" ht="15.75" customHeight="1" s="42"/>
    <row r="784" ht="15.75" customHeight="1" s="42"/>
    <row r="785" ht="15.75" customHeight="1" s="42"/>
    <row r="786" ht="15.75" customHeight="1" s="42"/>
    <row r="787" ht="15.75" customHeight="1" s="42"/>
    <row r="788" ht="15.75" customHeight="1" s="42"/>
    <row r="789" ht="15.75" customHeight="1" s="42"/>
    <row r="790" ht="15.75" customHeight="1" s="42"/>
    <row r="791" ht="15.75" customHeight="1" s="42"/>
    <row r="792" ht="15.75" customHeight="1" s="42"/>
    <row r="793" ht="15.75" customHeight="1" s="42"/>
    <row r="794" ht="15.75" customHeight="1" s="42"/>
    <row r="795" ht="15.75" customHeight="1" s="42"/>
    <row r="796" ht="15.75" customHeight="1" s="42"/>
    <row r="797" ht="15.75" customHeight="1" s="42"/>
    <row r="798" ht="15.75" customHeight="1" s="42"/>
    <row r="799" ht="15.75" customHeight="1" s="42"/>
    <row r="800" ht="15.75" customHeight="1" s="42"/>
    <row r="801" ht="15.75" customHeight="1" s="42"/>
    <row r="802" ht="15.75" customHeight="1" s="42"/>
    <row r="803" ht="15.75" customHeight="1" s="42"/>
    <row r="804" ht="15.75" customHeight="1" s="42"/>
    <row r="805" ht="15.75" customHeight="1" s="42"/>
    <row r="806" ht="15.75" customHeight="1" s="42"/>
    <row r="807" ht="15.75" customHeight="1" s="42"/>
    <row r="808" ht="15.75" customHeight="1" s="42"/>
    <row r="809" ht="15.75" customHeight="1" s="42"/>
    <row r="810" ht="15.75" customHeight="1" s="42"/>
    <row r="811" ht="15.75" customHeight="1" s="42"/>
    <row r="812" ht="15.75" customHeight="1" s="42"/>
    <row r="813" ht="15.75" customHeight="1" s="42"/>
    <row r="814" ht="15.75" customHeight="1" s="42"/>
    <row r="815" ht="15.75" customHeight="1" s="42"/>
    <row r="816" ht="15.75" customHeight="1" s="42"/>
    <row r="817" ht="15.75" customHeight="1" s="42"/>
    <row r="818" ht="15.75" customHeight="1" s="42"/>
    <row r="819" ht="15.75" customHeight="1" s="42"/>
    <row r="820" ht="15.75" customHeight="1" s="42"/>
    <row r="821" ht="15.75" customHeight="1" s="42"/>
    <row r="822" ht="15.75" customHeight="1" s="42"/>
    <row r="823" ht="15.75" customHeight="1" s="42"/>
    <row r="824" ht="15.75" customHeight="1" s="42"/>
    <row r="825" ht="15.75" customHeight="1" s="42"/>
    <row r="826" ht="15.75" customHeight="1" s="42"/>
    <row r="827" ht="15.75" customHeight="1" s="42"/>
    <row r="828" ht="15.75" customHeight="1" s="42"/>
    <row r="829" ht="15.75" customHeight="1" s="42"/>
    <row r="830" ht="15.75" customHeight="1" s="42"/>
    <row r="831" ht="15.75" customHeight="1" s="42"/>
    <row r="832" ht="15.75" customHeight="1" s="42"/>
    <row r="833" ht="15.75" customHeight="1" s="42"/>
    <row r="834" ht="15.75" customHeight="1" s="42"/>
    <row r="835" ht="15.75" customHeight="1" s="42"/>
    <row r="836" ht="15.75" customHeight="1" s="42"/>
    <row r="837" ht="15.75" customHeight="1" s="42"/>
    <row r="838" ht="15.75" customHeight="1" s="42"/>
    <row r="839" ht="15.75" customHeight="1" s="42"/>
    <row r="840" ht="15.75" customHeight="1" s="42"/>
    <row r="841" ht="15.75" customHeight="1" s="42"/>
    <row r="842" ht="15.75" customHeight="1" s="42"/>
    <row r="843" ht="15.75" customHeight="1" s="42"/>
    <row r="844" ht="15.75" customHeight="1" s="42"/>
    <row r="845" ht="15.75" customHeight="1" s="42"/>
    <row r="846" ht="15.75" customHeight="1" s="42"/>
    <row r="847" ht="15.75" customHeight="1" s="42"/>
    <row r="848" ht="15.75" customHeight="1" s="42"/>
    <row r="849" ht="15.75" customHeight="1" s="42"/>
    <row r="850" ht="15.75" customHeight="1" s="42"/>
    <row r="851" ht="15.75" customHeight="1" s="42"/>
    <row r="852" ht="15.75" customHeight="1" s="42"/>
    <row r="853" ht="15.75" customHeight="1" s="42"/>
    <row r="854" ht="15.75" customHeight="1" s="42"/>
    <row r="855" ht="15.75" customHeight="1" s="42"/>
    <row r="856" ht="15.75" customHeight="1" s="42"/>
    <row r="857" ht="15.75" customHeight="1" s="42"/>
    <row r="858" ht="15.75" customHeight="1" s="42"/>
    <row r="859" ht="15.75" customHeight="1" s="42"/>
    <row r="860" ht="15.75" customHeight="1" s="42"/>
    <row r="861" ht="15.75" customHeight="1" s="42"/>
    <row r="862" ht="15.75" customHeight="1" s="42"/>
    <row r="863" ht="15.75" customHeight="1" s="42"/>
    <row r="864" ht="15.75" customHeight="1" s="42"/>
    <row r="865" ht="15.75" customHeight="1" s="42"/>
    <row r="866" ht="15.75" customHeight="1" s="42"/>
    <row r="867" ht="15.75" customHeight="1" s="42"/>
    <row r="868" ht="15.75" customHeight="1" s="42"/>
    <row r="869" ht="15.75" customHeight="1" s="42"/>
    <row r="870" ht="15.75" customHeight="1" s="42"/>
    <row r="871" ht="15.75" customHeight="1" s="42"/>
    <row r="872" ht="15.75" customHeight="1" s="42"/>
    <row r="873" ht="15.75" customHeight="1" s="42"/>
    <row r="874" ht="15.75" customHeight="1" s="42"/>
    <row r="875" ht="15.75" customHeight="1" s="42"/>
    <row r="876" ht="15.75" customHeight="1" s="42"/>
    <row r="877" ht="15.75" customHeight="1" s="42"/>
    <row r="878" ht="15.75" customHeight="1" s="42"/>
    <row r="879" ht="15.75" customHeight="1" s="42"/>
    <row r="880" ht="15.75" customHeight="1" s="42"/>
    <row r="881" ht="15.75" customHeight="1" s="42"/>
    <row r="882" ht="15.75" customHeight="1" s="42"/>
    <row r="883" ht="15.75" customHeight="1" s="42"/>
    <row r="884" ht="15.75" customHeight="1" s="42"/>
    <row r="885" ht="15.75" customHeight="1" s="42"/>
    <row r="886" ht="15.75" customHeight="1" s="42"/>
    <row r="887" ht="15.75" customHeight="1" s="42"/>
    <row r="888" ht="15.75" customHeight="1" s="42"/>
    <row r="889" ht="15.75" customHeight="1" s="42"/>
    <row r="890" ht="15.75" customHeight="1" s="42"/>
    <row r="891" ht="15.75" customHeight="1" s="42"/>
    <row r="892" ht="15.75" customHeight="1" s="42"/>
    <row r="893" ht="15.75" customHeight="1" s="42"/>
    <row r="894" ht="15.75" customHeight="1" s="42"/>
    <row r="895" ht="15.75" customHeight="1" s="42"/>
    <row r="896" ht="15.75" customHeight="1" s="42"/>
    <row r="897" ht="15.75" customHeight="1" s="42"/>
    <row r="898" ht="15.75" customHeight="1" s="42"/>
    <row r="899" ht="15.75" customHeight="1" s="42"/>
    <row r="900" ht="15.75" customHeight="1" s="42"/>
    <row r="901" ht="15.75" customHeight="1" s="42"/>
    <row r="902" ht="15.75" customHeight="1" s="42"/>
    <row r="903" ht="15.75" customHeight="1" s="42"/>
    <row r="904" ht="15.75" customHeight="1" s="42"/>
    <row r="905" ht="15.75" customHeight="1" s="42"/>
    <row r="906" ht="15.75" customHeight="1" s="42"/>
    <row r="907" ht="15.75" customHeight="1" s="42"/>
    <row r="908" ht="15.75" customHeight="1" s="42"/>
    <row r="909" ht="15.75" customHeight="1" s="42"/>
    <row r="910" ht="15.75" customHeight="1" s="42"/>
    <row r="911" ht="15.75" customHeight="1" s="42"/>
    <row r="912" ht="15.75" customHeight="1" s="42"/>
    <row r="913" ht="15.75" customHeight="1" s="42"/>
    <row r="914" ht="15.75" customHeight="1" s="42"/>
    <row r="915" ht="15.75" customHeight="1" s="42"/>
    <row r="916" ht="15.75" customHeight="1" s="42"/>
    <row r="917" ht="15.75" customHeight="1" s="42"/>
    <row r="918" ht="15.75" customHeight="1" s="42"/>
    <row r="919" ht="15.75" customHeight="1" s="42"/>
    <row r="920" ht="15.75" customHeight="1" s="42"/>
    <row r="921" ht="15.75" customHeight="1" s="42"/>
    <row r="922" ht="15.75" customHeight="1" s="42"/>
    <row r="923" ht="15.75" customHeight="1" s="42"/>
    <row r="924" ht="15.75" customHeight="1" s="42"/>
    <row r="925" ht="15.75" customHeight="1" s="42"/>
    <row r="926" ht="15.75" customHeight="1" s="42"/>
    <row r="927" ht="15.75" customHeight="1" s="42"/>
    <row r="928" ht="15.75" customHeight="1" s="42"/>
    <row r="929" ht="15.75" customHeight="1" s="42"/>
    <row r="930" ht="15.75" customHeight="1" s="42"/>
    <row r="931" ht="15.75" customHeight="1" s="42"/>
    <row r="932" ht="15.75" customHeight="1" s="42"/>
    <row r="933" ht="15.75" customHeight="1" s="42"/>
    <row r="934" ht="15.75" customHeight="1" s="42"/>
    <row r="935" ht="15.75" customHeight="1" s="42"/>
    <row r="936" ht="15.75" customHeight="1" s="42"/>
    <row r="937" ht="15.75" customHeight="1" s="42"/>
    <row r="938" ht="15.75" customHeight="1" s="42"/>
    <row r="939" ht="15.75" customHeight="1" s="42"/>
    <row r="940" ht="15.75" customHeight="1" s="42"/>
    <row r="941" ht="15.75" customHeight="1" s="42"/>
    <row r="942" ht="15.75" customHeight="1" s="42"/>
    <row r="943" ht="15.75" customHeight="1" s="42"/>
    <row r="944" ht="15.75" customHeight="1" s="42"/>
    <row r="945" ht="15.75" customHeight="1" s="42"/>
    <row r="946" ht="15.75" customHeight="1" s="42"/>
    <row r="947" ht="15.75" customHeight="1" s="42"/>
    <row r="948" ht="15.75" customHeight="1" s="42"/>
    <row r="949" ht="15.75" customHeight="1" s="42"/>
    <row r="950" ht="15.75" customHeight="1" s="42"/>
    <row r="951" ht="15.75" customHeight="1" s="42"/>
    <row r="952" ht="15.75" customHeight="1" s="42"/>
    <row r="953" ht="15.75" customHeight="1" s="42"/>
    <row r="954" ht="15.75" customHeight="1" s="42"/>
    <row r="955" ht="15.75" customHeight="1" s="42"/>
    <row r="956" ht="15.75" customHeight="1" s="42"/>
    <row r="957" ht="15.75" customHeight="1" s="42"/>
    <row r="958" ht="15.75" customHeight="1" s="42"/>
    <row r="959" ht="15.75" customHeight="1" s="42"/>
    <row r="960" ht="15.75" customHeight="1" s="42"/>
    <row r="961" ht="15.75" customHeight="1" s="42"/>
    <row r="962" ht="15.75" customHeight="1" s="42"/>
    <row r="963" ht="15.75" customHeight="1" s="42"/>
    <row r="964" ht="15.75" customHeight="1" s="42"/>
    <row r="965" ht="15.75" customHeight="1" s="42"/>
    <row r="966" ht="15.75" customHeight="1" s="42"/>
    <row r="967" ht="15.75" customHeight="1" s="42"/>
    <row r="968" ht="15.75" customHeight="1" s="42"/>
    <row r="969" ht="15.75" customHeight="1" s="42"/>
    <row r="970" ht="15.75" customHeight="1" s="42"/>
    <row r="971" ht="15.75" customHeight="1" s="42"/>
    <row r="972" ht="15.75" customHeight="1" s="42"/>
    <row r="973" ht="15.75" customHeight="1" s="42"/>
    <row r="974" ht="15.75" customHeight="1" s="42"/>
    <row r="975" ht="15.75" customHeight="1" s="42"/>
    <row r="976" ht="15.75" customHeight="1" s="42"/>
    <row r="977" ht="15.75" customHeight="1" s="42"/>
    <row r="978" ht="15.75" customHeight="1" s="42"/>
    <row r="979" ht="15.75" customHeight="1" s="42"/>
    <row r="980" ht="15.75" customHeight="1" s="42"/>
    <row r="981" ht="15.75" customHeight="1" s="42"/>
    <row r="982" ht="15.75" customHeight="1" s="42"/>
    <row r="983" ht="15.75" customHeight="1" s="42"/>
    <row r="984" ht="15.75" customHeight="1" s="42"/>
    <row r="985" ht="15.75" customHeight="1" s="42"/>
    <row r="986" ht="15.75" customHeight="1" s="42"/>
    <row r="987" ht="15.75" customHeight="1" s="42"/>
    <row r="988" ht="15.75" customHeight="1" s="42"/>
    <row r="989" ht="15.75" customHeight="1" s="42"/>
    <row r="990" ht="15.75" customHeight="1" s="42"/>
    <row r="991" ht="15.75" customHeight="1" s="42"/>
    <row r="992" ht="15.75" customHeight="1" s="42"/>
    <row r="993" ht="15.75" customHeight="1" s="42"/>
    <row r="994" ht="15.75" customHeight="1" s="42"/>
    <row r="995" ht="15.75" customHeight="1" s="42"/>
    <row r="996" ht="15.75" customHeight="1" s="42"/>
    <row r="997" ht="15.75" customHeight="1" s="42"/>
    <row r="998" ht="15.75" customHeight="1" s="42"/>
    <row r="999" ht="15.75" customHeight="1" s="42"/>
    <row r="1000" ht="15.75" customHeight="1" s="42"/>
  </sheetData>
  <pageMargins left="0.75" right="0.75" top="1" bottom="1" header="0" footer="0"/>
  <pageSetup orientation="landscape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FF9900"/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5.29" customWidth="1" style="42" min="1" max="1"/>
    <col width="14.14" customWidth="1" style="42" min="2" max="2"/>
    <col width="13.71" customWidth="1" style="42" min="3" max="3"/>
    <col width="8.710000000000001" customWidth="1" style="42" min="4" max="26"/>
  </cols>
  <sheetData>
    <row r="1">
      <c r="A1" s="1" t="inlineStr">
        <is>
          <t>Date</t>
        </is>
      </c>
      <c r="B1" s="2" t="inlineStr">
        <is>
          <t>Source</t>
        </is>
      </c>
      <c r="C1" s="3" t="inlineStr">
        <is>
          <t>Amount</t>
        </is>
      </c>
    </row>
    <row r="2">
      <c r="A2" s="27" t="inlineStr">
        <is>
          <t>2025-09-22</t>
        </is>
      </c>
      <c r="B2" s="24" t="inlineStr">
        <is>
          <t>Reserve</t>
        </is>
      </c>
      <c r="C2" s="12" t="n">
        <v>700</v>
      </c>
    </row>
    <row r="3">
      <c r="A3" s="28" t="inlineStr">
        <is>
          <t>2025-09-26</t>
        </is>
      </c>
      <c r="B3" s="19" t="inlineStr">
        <is>
          <t>Paycheck</t>
        </is>
      </c>
      <c r="C3" s="13" t="n">
        <v>3800</v>
      </c>
    </row>
    <row r="4">
      <c r="A4" s="27" t="inlineStr">
        <is>
          <t>2025-10-10</t>
        </is>
      </c>
      <c r="B4" s="24" t="inlineStr">
        <is>
          <t>Paycheck</t>
        </is>
      </c>
      <c r="C4" s="12" t="n">
        <v>3800</v>
      </c>
    </row>
    <row r="5">
      <c r="A5" s="37" t="n">
        <v>45954</v>
      </c>
      <c r="B5" s="38" t="inlineStr">
        <is>
          <t>Paycheck</t>
        </is>
      </c>
      <c r="C5" s="39" t="n">
        <v>0</v>
      </c>
    </row>
    <row r="21" ht="15.75" customHeight="1" s="42"/>
    <row r="22" ht="15.75" customHeight="1" s="42"/>
    <row r="23" ht="15.75" customHeight="1" s="42"/>
    <row r="24" ht="15.75" customHeight="1" s="42"/>
    <row r="25" ht="15.75" customHeight="1" s="42"/>
    <row r="26" ht="15.75" customHeight="1" s="42"/>
    <row r="27" ht="15.75" customHeight="1" s="42"/>
    <row r="28" ht="15.75" customHeight="1" s="42"/>
    <row r="29" ht="15.75" customHeight="1" s="42"/>
    <row r="30" ht="15.75" customHeight="1" s="42"/>
    <row r="31" ht="15.75" customHeight="1" s="42"/>
    <row r="32" ht="15.75" customHeight="1" s="42"/>
    <row r="33" ht="15.75" customHeight="1" s="42"/>
    <row r="34" ht="15.75" customHeight="1" s="42"/>
    <row r="35" ht="15.75" customHeight="1" s="42"/>
    <row r="36" ht="15.75" customHeight="1" s="42"/>
    <row r="37" ht="15.75" customHeight="1" s="42"/>
    <row r="38" ht="15.75" customHeight="1" s="42"/>
    <row r="39" ht="15.75" customHeight="1" s="42"/>
    <row r="40" ht="15.75" customHeight="1" s="42"/>
    <row r="41" ht="15.75" customHeight="1" s="42"/>
    <row r="42" ht="15.75" customHeight="1" s="42"/>
    <row r="43" ht="15.75" customHeight="1" s="42"/>
    <row r="44" ht="15.75" customHeight="1" s="42"/>
    <row r="45" ht="15.75" customHeight="1" s="42"/>
    <row r="46" ht="15.75" customHeight="1" s="42"/>
    <row r="47" ht="15.75" customHeight="1" s="42"/>
    <row r="48" ht="15.75" customHeight="1" s="42"/>
    <row r="49" ht="15.75" customHeight="1" s="42"/>
    <row r="50" ht="15.75" customHeight="1" s="42"/>
    <row r="51" ht="15.75" customHeight="1" s="42"/>
    <row r="52" ht="15.75" customHeight="1" s="42"/>
    <row r="53" ht="15.75" customHeight="1" s="42"/>
    <row r="54" ht="15.75" customHeight="1" s="42"/>
    <row r="55" ht="15.75" customHeight="1" s="42"/>
    <row r="56" ht="15.75" customHeight="1" s="42"/>
    <row r="57" ht="15.75" customHeight="1" s="42"/>
    <row r="58" ht="15.75" customHeight="1" s="42"/>
    <row r="59" ht="15.75" customHeight="1" s="42"/>
    <row r="60" ht="15.75" customHeight="1" s="42"/>
    <row r="61" ht="15.75" customHeight="1" s="42"/>
    <row r="62" ht="15.75" customHeight="1" s="42"/>
    <row r="63" ht="15.75" customHeight="1" s="42"/>
    <row r="64" ht="15.75" customHeight="1" s="42"/>
    <row r="65" ht="15.75" customHeight="1" s="42"/>
    <row r="66" ht="15.75" customHeight="1" s="42"/>
    <row r="67" ht="15.75" customHeight="1" s="42"/>
    <row r="68" ht="15.75" customHeight="1" s="42"/>
    <row r="69" ht="15.75" customHeight="1" s="42"/>
    <row r="70" ht="15.75" customHeight="1" s="42"/>
    <row r="71" ht="15.75" customHeight="1" s="42"/>
    <row r="72" ht="15.75" customHeight="1" s="42"/>
    <row r="73" ht="15.75" customHeight="1" s="42"/>
    <row r="74" ht="15.75" customHeight="1" s="42"/>
    <row r="75" ht="15.75" customHeight="1" s="42"/>
    <row r="76" ht="15.75" customHeight="1" s="42"/>
    <row r="77" ht="15.75" customHeight="1" s="42"/>
    <row r="78" ht="15.75" customHeight="1" s="42"/>
    <row r="79" ht="15.75" customHeight="1" s="42"/>
    <row r="80" ht="15.75" customHeight="1" s="42"/>
    <row r="81" ht="15.75" customHeight="1" s="42"/>
    <row r="82" ht="15.75" customHeight="1" s="42"/>
    <row r="83" ht="15.75" customHeight="1" s="42"/>
    <row r="84" ht="15.75" customHeight="1" s="42"/>
    <row r="85" ht="15.75" customHeight="1" s="42"/>
    <row r="86" ht="15.75" customHeight="1" s="42"/>
    <row r="87" ht="15.75" customHeight="1" s="42"/>
    <row r="88" ht="15.75" customHeight="1" s="42"/>
    <row r="89" ht="15.75" customHeight="1" s="42"/>
    <row r="90" ht="15.75" customHeight="1" s="42"/>
    <row r="91" ht="15.75" customHeight="1" s="42"/>
    <row r="92" ht="15.75" customHeight="1" s="42"/>
    <row r="93" ht="15.75" customHeight="1" s="42"/>
    <row r="94" ht="15.75" customHeight="1" s="42"/>
    <row r="95" ht="15.75" customHeight="1" s="42"/>
    <row r="96" ht="15.75" customHeight="1" s="42"/>
    <row r="97" ht="15.75" customHeight="1" s="42"/>
    <row r="98" ht="15.75" customHeight="1" s="42"/>
    <row r="99" ht="15.75" customHeight="1" s="42"/>
    <row r="100" ht="15.75" customHeight="1" s="42"/>
    <row r="101" ht="15.75" customHeight="1" s="42"/>
    <row r="102" ht="15.75" customHeight="1" s="42"/>
    <row r="103" ht="15.75" customHeight="1" s="42"/>
    <row r="104" ht="15.75" customHeight="1" s="42"/>
    <row r="105" ht="15.75" customHeight="1" s="42"/>
    <row r="106" ht="15.75" customHeight="1" s="42"/>
    <row r="107" ht="15.75" customHeight="1" s="42"/>
    <row r="108" ht="15.75" customHeight="1" s="42"/>
    <row r="109" ht="15.75" customHeight="1" s="42"/>
    <row r="110" ht="15.75" customHeight="1" s="42"/>
    <row r="111" ht="15.75" customHeight="1" s="42"/>
    <row r="112" ht="15.75" customHeight="1" s="42"/>
    <row r="113" ht="15.75" customHeight="1" s="42"/>
    <row r="114" ht="15.75" customHeight="1" s="42"/>
    <row r="115" ht="15.75" customHeight="1" s="42"/>
    <row r="116" ht="15.75" customHeight="1" s="42"/>
    <row r="117" ht="15.75" customHeight="1" s="42"/>
    <row r="118" ht="15.75" customHeight="1" s="42"/>
    <row r="119" ht="15.75" customHeight="1" s="42"/>
    <row r="120" ht="15.75" customHeight="1" s="42"/>
    <row r="121" ht="15.75" customHeight="1" s="42"/>
    <row r="122" ht="15.75" customHeight="1" s="42"/>
    <row r="123" ht="15.75" customHeight="1" s="42"/>
    <row r="124" ht="15.75" customHeight="1" s="42"/>
    <row r="125" ht="15.75" customHeight="1" s="42"/>
    <row r="126" ht="15.75" customHeight="1" s="42"/>
    <row r="127" ht="15.75" customHeight="1" s="42"/>
    <row r="128" ht="15.75" customHeight="1" s="42"/>
    <row r="129" ht="15.75" customHeight="1" s="42"/>
    <row r="130" ht="15.75" customHeight="1" s="42"/>
    <row r="131" ht="15.75" customHeight="1" s="42"/>
    <row r="132" ht="15.75" customHeight="1" s="42"/>
    <row r="133" ht="15.75" customHeight="1" s="42"/>
    <row r="134" ht="15.75" customHeight="1" s="42"/>
    <row r="135" ht="15.75" customHeight="1" s="42"/>
    <row r="136" ht="15.75" customHeight="1" s="42"/>
    <row r="137" ht="15.75" customHeight="1" s="42"/>
    <row r="138" ht="15.75" customHeight="1" s="42"/>
    <row r="139" ht="15.75" customHeight="1" s="42"/>
    <row r="140" ht="15.75" customHeight="1" s="42"/>
    <row r="141" ht="15.75" customHeight="1" s="42"/>
    <row r="142" ht="15.75" customHeight="1" s="42"/>
    <row r="143" ht="15.75" customHeight="1" s="42"/>
    <row r="144" ht="15.75" customHeight="1" s="42"/>
    <row r="145" ht="15.75" customHeight="1" s="42"/>
    <row r="146" ht="15.75" customHeight="1" s="42"/>
    <row r="147" ht="15.75" customHeight="1" s="42"/>
    <row r="148" ht="15.75" customHeight="1" s="42"/>
    <row r="149" ht="15.75" customHeight="1" s="42"/>
    <row r="150" ht="15.75" customHeight="1" s="42"/>
    <row r="151" ht="15.75" customHeight="1" s="42"/>
    <row r="152" ht="15.75" customHeight="1" s="42"/>
    <row r="153" ht="15.75" customHeight="1" s="42"/>
    <row r="154" ht="15.75" customHeight="1" s="42"/>
    <row r="155" ht="15.75" customHeight="1" s="42"/>
    <row r="156" ht="15.75" customHeight="1" s="42"/>
    <row r="157" ht="15.75" customHeight="1" s="42"/>
    <row r="158" ht="15.75" customHeight="1" s="42"/>
    <row r="159" ht="15.75" customHeight="1" s="42"/>
    <row r="160" ht="15.75" customHeight="1" s="42"/>
    <row r="161" ht="15.75" customHeight="1" s="42"/>
    <row r="162" ht="15.75" customHeight="1" s="42"/>
    <row r="163" ht="15.75" customHeight="1" s="42"/>
    <row r="164" ht="15.75" customHeight="1" s="42"/>
    <row r="165" ht="15.75" customHeight="1" s="42"/>
    <row r="166" ht="15.75" customHeight="1" s="42"/>
    <row r="167" ht="15.75" customHeight="1" s="42"/>
    <row r="168" ht="15.75" customHeight="1" s="42"/>
    <row r="169" ht="15.75" customHeight="1" s="42"/>
    <row r="170" ht="15.75" customHeight="1" s="42"/>
    <row r="171" ht="15.75" customHeight="1" s="42"/>
    <row r="172" ht="15.75" customHeight="1" s="42"/>
    <row r="173" ht="15.75" customHeight="1" s="42"/>
    <row r="174" ht="15.75" customHeight="1" s="42"/>
    <row r="175" ht="15.75" customHeight="1" s="42"/>
    <row r="176" ht="15.75" customHeight="1" s="42"/>
    <row r="177" ht="15.75" customHeight="1" s="42"/>
    <row r="178" ht="15.75" customHeight="1" s="42"/>
    <row r="179" ht="15.75" customHeight="1" s="42"/>
    <row r="180" ht="15.75" customHeight="1" s="42"/>
    <row r="181" ht="15.75" customHeight="1" s="42"/>
    <row r="182" ht="15.75" customHeight="1" s="42"/>
    <row r="183" ht="15.75" customHeight="1" s="42"/>
    <row r="184" ht="15.75" customHeight="1" s="42"/>
    <row r="185" ht="15.75" customHeight="1" s="42"/>
    <row r="186" ht="15.75" customHeight="1" s="42"/>
    <row r="187" ht="15.75" customHeight="1" s="42"/>
    <row r="188" ht="15.75" customHeight="1" s="42"/>
    <row r="189" ht="15.75" customHeight="1" s="42"/>
    <row r="190" ht="15.75" customHeight="1" s="42"/>
    <row r="191" ht="15.75" customHeight="1" s="42"/>
    <row r="192" ht="15.75" customHeight="1" s="42"/>
    <row r="193" ht="15.75" customHeight="1" s="42"/>
    <row r="194" ht="15.75" customHeight="1" s="42"/>
    <row r="195" ht="15.75" customHeight="1" s="42"/>
    <row r="196" ht="15.75" customHeight="1" s="42"/>
    <row r="197" ht="15.75" customHeight="1" s="42"/>
    <row r="198" ht="15.75" customHeight="1" s="42"/>
    <row r="199" ht="15.75" customHeight="1" s="42"/>
    <row r="200" ht="15.75" customHeight="1" s="42"/>
    <row r="201" ht="15.75" customHeight="1" s="42"/>
    <row r="202" ht="15.75" customHeight="1" s="42"/>
    <row r="203" ht="15.75" customHeight="1" s="42"/>
    <row r="204" ht="15.75" customHeight="1" s="42"/>
    <row r="205" ht="15.75" customHeight="1" s="42"/>
    <row r="206" ht="15.75" customHeight="1" s="42"/>
    <row r="207" ht="15.75" customHeight="1" s="42"/>
    <row r="208" ht="15.75" customHeight="1" s="42"/>
    <row r="209" ht="15.75" customHeight="1" s="42"/>
    <row r="210" ht="15.75" customHeight="1" s="42"/>
    <row r="211" ht="15.75" customHeight="1" s="42"/>
    <row r="212" ht="15.75" customHeight="1" s="42"/>
    <row r="213" ht="15.75" customHeight="1" s="42"/>
    <row r="214" ht="15.75" customHeight="1" s="42"/>
    <row r="215" ht="15.75" customHeight="1" s="42"/>
    <row r="216" ht="15.75" customHeight="1" s="42"/>
    <row r="217" ht="15.75" customHeight="1" s="42"/>
    <row r="218" ht="15.75" customHeight="1" s="42"/>
    <row r="219" ht="15.75" customHeight="1" s="42"/>
    <row r="220" ht="15.75" customHeight="1" s="42"/>
    <row r="221" ht="15.75" customHeight="1" s="42"/>
    <row r="222" ht="15.75" customHeight="1" s="42"/>
    <row r="223" ht="15.75" customHeight="1" s="42"/>
    <row r="224" ht="15.75" customHeight="1" s="42"/>
    <row r="225" ht="15.75" customHeight="1" s="42"/>
    <row r="226" ht="15.75" customHeight="1" s="42"/>
    <row r="227" ht="15.75" customHeight="1" s="42"/>
    <row r="228" ht="15.75" customHeight="1" s="42"/>
    <row r="229" ht="15.75" customHeight="1" s="42"/>
    <row r="230" ht="15.75" customHeight="1" s="42"/>
    <row r="231" ht="15.75" customHeight="1" s="42"/>
    <row r="232" ht="15.75" customHeight="1" s="42"/>
    <row r="233" ht="15.75" customHeight="1" s="42"/>
    <row r="234" ht="15.75" customHeight="1" s="42"/>
    <row r="235" ht="15.75" customHeight="1" s="42"/>
    <row r="236" ht="15.75" customHeight="1" s="42"/>
    <row r="237" ht="15.75" customHeight="1" s="42"/>
    <row r="238" ht="15.75" customHeight="1" s="42"/>
    <row r="239" ht="15.75" customHeight="1" s="42"/>
    <row r="240" ht="15.75" customHeight="1" s="42"/>
    <row r="241" ht="15.75" customHeight="1" s="42"/>
    <row r="242" ht="15.75" customHeight="1" s="42"/>
    <row r="243" ht="15.75" customHeight="1" s="42"/>
    <row r="244" ht="15.75" customHeight="1" s="42"/>
    <row r="245" ht="15.75" customHeight="1" s="42"/>
    <row r="246" ht="15.75" customHeight="1" s="42"/>
    <row r="247" ht="15.75" customHeight="1" s="42"/>
    <row r="248" ht="15.75" customHeight="1" s="42"/>
    <row r="249" ht="15.75" customHeight="1" s="42"/>
    <row r="250" ht="15.75" customHeight="1" s="42"/>
    <row r="251" ht="15.75" customHeight="1" s="42"/>
    <row r="252" ht="15.75" customHeight="1" s="42"/>
    <row r="253" ht="15.75" customHeight="1" s="42"/>
    <row r="254" ht="15.75" customHeight="1" s="42"/>
    <row r="255" ht="15.75" customHeight="1" s="42"/>
    <row r="256" ht="15.75" customHeight="1" s="42"/>
    <row r="257" ht="15.75" customHeight="1" s="42"/>
    <row r="258" ht="15.75" customHeight="1" s="42"/>
    <row r="259" ht="15.75" customHeight="1" s="42"/>
    <row r="260" ht="15.75" customHeight="1" s="42"/>
    <row r="261" ht="15.75" customHeight="1" s="42"/>
    <row r="262" ht="15.75" customHeight="1" s="42"/>
    <row r="263" ht="15.75" customHeight="1" s="42"/>
    <row r="264" ht="15.75" customHeight="1" s="42"/>
    <row r="265" ht="15.75" customHeight="1" s="42"/>
    <row r="266" ht="15.75" customHeight="1" s="42"/>
    <row r="267" ht="15.75" customHeight="1" s="42"/>
    <row r="268" ht="15.75" customHeight="1" s="42"/>
    <row r="269" ht="15.75" customHeight="1" s="42"/>
    <row r="270" ht="15.75" customHeight="1" s="42"/>
    <row r="271" ht="15.75" customHeight="1" s="42"/>
    <row r="272" ht="15.75" customHeight="1" s="42"/>
    <row r="273" ht="15.75" customHeight="1" s="42"/>
    <row r="274" ht="15.75" customHeight="1" s="42"/>
    <row r="275" ht="15.75" customHeight="1" s="42"/>
    <row r="276" ht="15.75" customHeight="1" s="42"/>
    <row r="277" ht="15.75" customHeight="1" s="42"/>
    <row r="278" ht="15.75" customHeight="1" s="42"/>
    <row r="279" ht="15.75" customHeight="1" s="42"/>
    <row r="280" ht="15.75" customHeight="1" s="42"/>
    <row r="281" ht="15.75" customHeight="1" s="42"/>
    <row r="282" ht="15.75" customHeight="1" s="42"/>
    <row r="283" ht="15.75" customHeight="1" s="42"/>
    <row r="284" ht="15.75" customHeight="1" s="42"/>
    <row r="285" ht="15.75" customHeight="1" s="42"/>
    <row r="286" ht="15.75" customHeight="1" s="42"/>
    <row r="287" ht="15.75" customHeight="1" s="42"/>
    <row r="288" ht="15.75" customHeight="1" s="42"/>
    <row r="289" ht="15.75" customHeight="1" s="42"/>
    <row r="290" ht="15.75" customHeight="1" s="42"/>
    <row r="291" ht="15.75" customHeight="1" s="42"/>
    <row r="292" ht="15.75" customHeight="1" s="42"/>
    <row r="293" ht="15.75" customHeight="1" s="42"/>
    <row r="294" ht="15.75" customHeight="1" s="42"/>
    <row r="295" ht="15.75" customHeight="1" s="42"/>
    <row r="296" ht="15.75" customHeight="1" s="42"/>
    <row r="297" ht="15.75" customHeight="1" s="42"/>
    <row r="298" ht="15.75" customHeight="1" s="42"/>
    <row r="299" ht="15.75" customHeight="1" s="42"/>
    <row r="300" ht="15.75" customHeight="1" s="42"/>
    <row r="301" ht="15.75" customHeight="1" s="42"/>
    <row r="302" ht="15.75" customHeight="1" s="42"/>
    <row r="303" ht="15.75" customHeight="1" s="42"/>
    <row r="304" ht="15.75" customHeight="1" s="42"/>
    <row r="305" ht="15.75" customHeight="1" s="42"/>
    <row r="306" ht="15.75" customHeight="1" s="42"/>
    <row r="307" ht="15.75" customHeight="1" s="42"/>
    <row r="308" ht="15.75" customHeight="1" s="42"/>
    <row r="309" ht="15.75" customHeight="1" s="42"/>
    <row r="310" ht="15.75" customHeight="1" s="42"/>
    <row r="311" ht="15.75" customHeight="1" s="42"/>
    <row r="312" ht="15.75" customHeight="1" s="42"/>
    <row r="313" ht="15.75" customHeight="1" s="42"/>
    <row r="314" ht="15.75" customHeight="1" s="42"/>
    <row r="315" ht="15.75" customHeight="1" s="42"/>
    <row r="316" ht="15.75" customHeight="1" s="42"/>
    <row r="317" ht="15.75" customHeight="1" s="42"/>
    <row r="318" ht="15.75" customHeight="1" s="42"/>
    <row r="319" ht="15.75" customHeight="1" s="42"/>
    <row r="320" ht="15.75" customHeight="1" s="42"/>
    <row r="321" ht="15.75" customHeight="1" s="42"/>
    <row r="322" ht="15.75" customHeight="1" s="42"/>
    <row r="323" ht="15.75" customHeight="1" s="42"/>
    <row r="324" ht="15.75" customHeight="1" s="42"/>
    <row r="325" ht="15.75" customHeight="1" s="42"/>
    <row r="326" ht="15.75" customHeight="1" s="42"/>
    <row r="327" ht="15.75" customHeight="1" s="42"/>
    <row r="328" ht="15.75" customHeight="1" s="42"/>
    <row r="329" ht="15.75" customHeight="1" s="42"/>
    <row r="330" ht="15.75" customHeight="1" s="42"/>
    <row r="331" ht="15.75" customHeight="1" s="42"/>
    <row r="332" ht="15.75" customHeight="1" s="42"/>
    <row r="333" ht="15.75" customHeight="1" s="42"/>
    <row r="334" ht="15.75" customHeight="1" s="42"/>
    <row r="335" ht="15.75" customHeight="1" s="42"/>
    <row r="336" ht="15.75" customHeight="1" s="42"/>
    <row r="337" ht="15.75" customHeight="1" s="42"/>
    <row r="338" ht="15.75" customHeight="1" s="42"/>
    <row r="339" ht="15.75" customHeight="1" s="42"/>
    <row r="340" ht="15.75" customHeight="1" s="42"/>
    <row r="341" ht="15.75" customHeight="1" s="42"/>
    <row r="342" ht="15.75" customHeight="1" s="42"/>
    <row r="343" ht="15.75" customHeight="1" s="42"/>
    <row r="344" ht="15.75" customHeight="1" s="42"/>
    <row r="345" ht="15.75" customHeight="1" s="42"/>
    <row r="346" ht="15.75" customHeight="1" s="42"/>
    <row r="347" ht="15.75" customHeight="1" s="42"/>
    <row r="348" ht="15.75" customHeight="1" s="42"/>
    <row r="349" ht="15.75" customHeight="1" s="42"/>
    <row r="350" ht="15.75" customHeight="1" s="42"/>
    <row r="351" ht="15.75" customHeight="1" s="42"/>
    <row r="352" ht="15.75" customHeight="1" s="42"/>
    <row r="353" ht="15.75" customHeight="1" s="42"/>
    <row r="354" ht="15.75" customHeight="1" s="42"/>
    <row r="355" ht="15.75" customHeight="1" s="42"/>
    <row r="356" ht="15.75" customHeight="1" s="42"/>
    <row r="357" ht="15.75" customHeight="1" s="42"/>
    <row r="358" ht="15.75" customHeight="1" s="42"/>
    <row r="359" ht="15.75" customHeight="1" s="42"/>
    <row r="360" ht="15.75" customHeight="1" s="42"/>
    <row r="361" ht="15.75" customHeight="1" s="42"/>
    <row r="362" ht="15.75" customHeight="1" s="42"/>
    <row r="363" ht="15.75" customHeight="1" s="42"/>
    <row r="364" ht="15.75" customHeight="1" s="42"/>
    <row r="365" ht="15.75" customHeight="1" s="42"/>
    <row r="366" ht="15.75" customHeight="1" s="42"/>
    <row r="367" ht="15.75" customHeight="1" s="42"/>
    <row r="368" ht="15.75" customHeight="1" s="42"/>
    <row r="369" ht="15.75" customHeight="1" s="42"/>
    <row r="370" ht="15.75" customHeight="1" s="42"/>
    <row r="371" ht="15.75" customHeight="1" s="42"/>
    <row r="372" ht="15.75" customHeight="1" s="42"/>
    <row r="373" ht="15.75" customHeight="1" s="42"/>
    <row r="374" ht="15.75" customHeight="1" s="42"/>
    <row r="375" ht="15.75" customHeight="1" s="42"/>
    <row r="376" ht="15.75" customHeight="1" s="42"/>
    <row r="377" ht="15.75" customHeight="1" s="42"/>
    <row r="378" ht="15.75" customHeight="1" s="42"/>
    <row r="379" ht="15.75" customHeight="1" s="42"/>
    <row r="380" ht="15.75" customHeight="1" s="42"/>
    <row r="381" ht="15.75" customHeight="1" s="42"/>
    <row r="382" ht="15.75" customHeight="1" s="42"/>
    <row r="383" ht="15.75" customHeight="1" s="42"/>
    <row r="384" ht="15.75" customHeight="1" s="42"/>
    <row r="385" ht="15.75" customHeight="1" s="42"/>
    <row r="386" ht="15.75" customHeight="1" s="42"/>
    <row r="387" ht="15.75" customHeight="1" s="42"/>
    <row r="388" ht="15.75" customHeight="1" s="42"/>
    <row r="389" ht="15.75" customHeight="1" s="42"/>
    <row r="390" ht="15.75" customHeight="1" s="42"/>
    <row r="391" ht="15.75" customHeight="1" s="42"/>
    <row r="392" ht="15.75" customHeight="1" s="42"/>
    <row r="393" ht="15.75" customHeight="1" s="42"/>
    <row r="394" ht="15.75" customHeight="1" s="42"/>
    <row r="395" ht="15.75" customHeight="1" s="42"/>
    <row r="396" ht="15.75" customHeight="1" s="42"/>
    <row r="397" ht="15.75" customHeight="1" s="42"/>
    <row r="398" ht="15.75" customHeight="1" s="42"/>
    <row r="399" ht="15.75" customHeight="1" s="42"/>
    <row r="400" ht="15.75" customHeight="1" s="42"/>
    <row r="401" ht="15.75" customHeight="1" s="42"/>
    <row r="402" ht="15.75" customHeight="1" s="42"/>
    <row r="403" ht="15.75" customHeight="1" s="42"/>
    <row r="404" ht="15.75" customHeight="1" s="42"/>
    <row r="405" ht="15.75" customHeight="1" s="42"/>
    <row r="406" ht="15.75" customHeight="1" s="42"/>
    <row r="407" ht="15.75" customHeight="1" s="42"/>
    <row r="408" ht="15.75" customHeight="1" s="42"/>
    <row r="409" ht="15.75" customHeight="1" s="42"/>
    <row r="410" ht="15.75" customHeight="1" s="42"/>
    <row r="411" ht="15.75" customHeight="1" s="42"/>
    <row r="412" ht="15.75" customHeight="1" s="42"/>
    <row r="413" ht="15.75" customHeight="1" s="42"/>
    <row r="414" ht="15.75" customHeight="1" s="42"/>
    <row r="415" ht="15.75" customHeight="1" s="42"/>
    <row r="416" ht="15.75" customHeight="1" s="42"/>
    <row r="417" ht="15.75" customHeight="1" s="42"/>
    <row r="418" ht="15.75" customHeight="1" s="42"/>
    <row r="419" ht="15.75" customHeight="1" s="42"/>
    <row r="420" ht="15.75" customHeight="1" s="42"/>
    <row r="421" ht="15.75" customHeight="1" s="42"/>
    <row r="422" ht="15.75" customHeight="1" s="42"/>
    <row r="423" ht="15.75" customHeight="1" s="42"/>
    <row r="424" ht="15.75" customHeight="1" s="42"/>
    <row r="425" ht="15.75" customHeight="1" s="42"/>
    <row r="426" ht="15.75" customHeight="1" s="42"/>
    <row r="427" ht="15.75" customHeight="1" s="42"/>
    <row r="428" ht="15.75" customHeight="1" s="42"/>
    <row r="429" ht="15.75" customHeight="1" s="42"/>
    <row r="430" ht="15.75" customHeight="1" s="42"/>
    <row r="431" ht="15.75" customHeight="1" s="42"/>
    <row r="432" ht="15.75" customHeight="1" s="42"/>
    <row r="433" ht="15.75" customHeight="1" s="42"/>
    <row r="434" ht="15.75" customHeight="1" s="42"/>
    <row r="435" ht="15.75" customHeight="1" s="42"/>
    <row r="436" ht="15.75" customHeight="1" s="42"/>
    <row r="437" ht="15.75" customHeight="1" s="42"/>
    <row r="438" ht="15.75" customHeight="1" s="42"/>
    <row r="439" ht="15.75" customHeight="1" s="42"/>
    <row r="440" ht="15.75" customHeight="1" s="42"/>
    <row r="441" ht="15.75" customHeight="1" s="42"/>
    <row r="442" ht="15.75" customHeight="1" s="42"/>
    <row r="443" ht="15.75" customHeight="1" s="42"/>
    <row r="444" ht="15.75" customHeight="1" s="42"/>
    <row r="445" ht="15.75" customHeight="1" s="42"/>
    <row r="446" ht="15.75" customHeight="1" s="42"/>
    <row r="447" ht="15.75" customHeight="1" s="42"/>
    <row r="448" ht="15.75" customHeight="1" s="42"/>
    <row r="449" ht="15.75" customHeight="1" s="42"/>
    <row r="450" ht="15.75" customHeight="1" s="42"/>
    <row r="451" ht="15.75" customHeight="1" s="42"/>
    <row r="452" ht="15.75" customHeight="1" s="42"/>
    <row r="453" ht="15.75" customHeight="1" s="42"/>
    <row r="454" ht="15.75" customHeight="1" s="42"/>
    <row r="455" ht="15.75" customHeight="1" s="42"/>
    <row r="456" ht="15.75" customHeight="1" s="42"/>
    <row r="457" ht="15.75" customHeight="1" s="42"/>
    <row r="458" ht="15.75" customHeight="1" s="42"/>
    <row r="459" ht="15.75" customHeight="1" s="42"/>
    <row r="460" ht="15.75" customHeight="1" s="42"/>
    <row r="461" ht="15.75" customHeight="1" s="42"/>
    <row r="462" ht="15.75" customHeight="1" s="42"/>
    <row r="463" ht="15.75" customHeight="1" s="42"/>
    <row r="464" ht="15.75" customHeight="1" s="42"/>
    <row r="465" ht="15.75" customHeight="1" s="42"/>
    <row r="466" ht="15.75" customHeight="1" s="42"/>
    <row r="467" ht="15.75" customHeight="1" s="42"/>
    <row r="468" ht="15.75" customHeight="1" s="42"/>
    <row r="469" ht="15.75" customHeight="1" s="42"/>
    <row r="470" ht="15.75" customHeight="1" s="42"/>
    <row r="471" ht="15.75" customHeight="1" s="42"/>
    <row r="472" ht="15.75" customHeight="1" s="42"/>
    <row r="473" ht="15.75" customHeight="1" s="42"/>
    <row r="474" ht="15.75" customHeight="1" s="42"/>
    <row r="475" ht="15.75" customHeight="1" s="42"/>
    <row r="476" ht="15.75" customHeight="1" s="42"/>
    <row r="477" ht="15.75" customHeight="1" s="42"/>
    <row r="478" ht="15.75" customHeight="1" s="42"/>
    <row r="479" ht="15.75" customHeight="1" s="42"/>
    <row r="480" ht="15.75" customHeight="1" s="42"/>
    <row r="481" ht="15.75" customHeight="1" s="42"/>
    <row r="482" ht="15.75" customHeight="1" s="42"/>
    <row r="483" ht="15.75" customHeight="1" s="42"/>
    <row r="484" ht="15.75" customHeight="1" s="42"/>
    <row r="485" ht="15.75" customHeight="1" s="42"/>
    <row r="486" ht="15.75" customHeight="1" s="42"/>
    <row r="487" ht="15.75" customHeight="1" s="42"/>
    <row r="488" ht="15.75" customHeight="1" s="42"/>
    <row r="489" ht="15.75" customHeight="1" s="42"/>
    <row r="490" ht="15.75" customHeight="1" s="42"/>
    <row r="491" ht="15.75" customHeight="1" s="42"/>
    <row r="492" ht="15.75" customHeight="1" s="42"/>
    <row r="493" ht="15.75" customHeight="1" s="42"/>
    <row r="494" ht="15.75" customHeight="1" s="42"/>
    <row r="495" ht="15.75" customHeight="1" s="42"/>
    <row r="496" ht="15.75" customHeight="1" s="42"/>
    <row r="497" ht="15.75" customHeight="1" s="42"/>
    <row r="498" ht="15.75" customHeight="1" s="42"/>
    <row r="499" ht="15.75" customHeight="1" s="42"/>
    <row r="500" ht="15.75" customHeight="1" s="42"/>
    <row r="501" ht="15.75" customHeight="1" s="42"/>
    <row r="502" ht="15.75" customHeight="1" s="42"/>
    <row r="503" ht="15.75" customHeight="1" s="42"/>
    <row r="504" ht="15.75" customHeight="1" s="42"/>
    <row r="505" ht="15.75" customHeight="1" s="42"/>
    <row r="506" ht="15.75" customHeight="1" s="42"/>
    <row r="507" ht="15.75" customHeight="1" s="42"/>
    <row r="508" ht="15.75" customHeight="1" s="42"/>
    <row r="509" ht="15.75" customHeight="1" s="42"/>
    <row r="510" ht="15.75" customHeight="1" s="42"/>
    <row r="511" ht="15.75" customHeight="1" s="42"/>
    <row r="512" ht="15.75" customHeight="1" s="42"/>
    <row r="513" ht="15.75" customHeight="1" s="42"/>
    <row r="514" ht="15.75" customHeight="1" s="42"/>
    <row r="515" ht="15.75" customHeight="1" s="42"/>
    <row r="516" ht="15.75" customHeight="1" s="42"/>
    <row r="517" ht="15.75" customHeight="1" s="42"/>
    <row r="518" ht="15.75" customHeight="1" s="42"/>
    <row r="519" ht="15.75" customHeight="1" s="42"/>
    <row r="520" ht="15.75" customHeight="1" s="42"/>
    <row r="521" ht="15.75" customHeight="1" s="42"/>
    <row r="522" ht="15.75" customHeight="1" s="42"/>
    <row r="523" ht="15.75" customHeight="1" s="42"/>
    <row r="524" ht="15.75" customHeight="1" s="42"/>
    <row r="525" ht="15.75" customHeight="1" s="42"/>
    <row r="526" ht="15.75" customHeight="1" s="42"/>
    <row r="527" ht="15.75" customHeight="1" s="42"/>
    <row r="528" ht="15.75" customHeight="1" s="42"/>
    <row r="529" ht="15.75" customHeight="1" s="42"/>
    <row r="530" ht="15.75" customHeight="1" s="42"/>
    <row r="531" ht="15.75" customHeight="1" s="42"/>
    <row r="532" ht="15.75" customHeight="1" s="42"/>
    <row r="533" ht="15.75" customHeight="1" s="42"/>
    <row r="534" ht="15.75" customHeight="1" s="42"/>
    <row r="535" ht="15.75" customHeight="1" s="42"/>
    <row r="536" ht="15.75" customHeight="1" s="42"/>
    <row r="537" ht="15.75" customHeight="1" s="42"/>
    <row r="538" ht="15.75" customHeight="1" s="42"/>
    <row r="539" ht="15.75" customHeight="1" s="42"/>
    <row r="540" ht="15.75" customHeight="1" s="42"/>
    <row r="541" ht="15.75" customHeight="1" s="42"/>
    <row r="542" ht="15.75" customHeight="1" s="42"/>
    <row r="543" ht="15.75" customHeight="1" s="42"/>
    <row r="544" ht="15.75" customHeight="1" s="42"/>
    <row r="545" ht="15.75" customHeight="1" s="42"/>
    <row r="546" ht="15.75" customHeight="1" s="42"/>
    <row r="547" ht="15.75" customHeight="1" s="42"/>
    <row r="548" ht="15.75" customHeight="1" s="42"/>
    <row r="549" ht="15.75" customHeight="1" s="42"/>
    <row r="550" ht="15.75" customHeight="1" s="42"/>
    <row r="551" ht="15.75" customHeight="1" s="42"/>
    <row r="552" ht="15.75" customHeight="1" s="42"/>
    <row r="553" ht="15.75" customHeight="1" s="42"/>
    <row r="554" ht="15.75" customHeight="1" s="42"/>
    <row r="555" ht="15.75" customHeight="1" s="42"/>
    <row r="556" ht="15.75" customHeight="1" s="42"/>
    <row r="557" ht="15.75" customHeight="1" s="42"/>
    <row r="558" ht="15.75" customHeight="1" s="42"/>
    <row r="559" ht="15.75" customHeight="1" s="42"/>
    <row r="560" ht="15.75" customHeight="1" s="42"/>
    <row r="561" ht="15.75" customHeight="1" s="42"/>
    <row r="562" ht="15.75" customHeight="1" s="42"/>
    <row r="563" ht="15.75" customHeight="1" s="42"/>
    <row r="564" ht="15.75" customHeight="1" s="42"/>
    <row r="565" ht="15.75" customHeight="1" s="42"/>
    <row r="566" ht="15.75" customHeight="1" s="42"/>
    <row r="567" ht="15.75" customHeight="1" s="42"/>
    <row r="568" ht="15.75" customHeight="1" s="42"/>
    <row r="569" ht="15.75" customHeight="1" s="42"/>
    <row r="570" ht="15.75" customHeight="1" s="42"/>
    <row r="571" ht="15.75" customHeight="1" s="42"/>
    <row r="572" ht="15.75" customHeight="1" s="42"/>
    <row r="573" ht="15.75" customHeight="1" s="42"/>
    <row r="574" ht="15.75" customHeight="1" s="42"/>
    <row r="575" ht="15.75" customHeight="1" s="42"/>
    <row r="576" ht="15.75" customHeight="1" s="42"/>
    <row r="577" ht="15.75" customHeight="1" s="42"/>
    <row r="578" ht="15.75" customHeight="1" s="42"/>
    <row r="579" ht="15.75" customHeight="1" s="42"/>
    <row r="580" ht="15.75" customHeight="1" s="42"/>
    <row r="581" ht="15.75" customHeight="1" s="42"/>
    <row r="582" ht="15.75" customHeight="1" s="42"/>
    <row r="583" ht="15.75" customHeight="1" s="42"/>
    <row r="584" ht="15.75" customHeight="1" s="42"/>
    <row r="585" ht="15.75" customHeight="1" s="42"/>
    <row r="586" ht="15.75" customHeight="1" s="42"/>
    <row r="587" ht="15.75" customHeight="1" s="42"/>
    <row r="588" ht="15.75" customHeight="1" s="42"/>
    <row r="589" ht="15.75" customHeight="1" s="42"/>
    <row r="590" ht="15.75" customHeight="1" s="42"/>
    <row r="591" ht="15.75" customHeight="1" s="42"/>
    <row r="592" ht="15.75" customHeight="1" s="42"/>
    <row r="593" ht="15.75" customHeight="1" s="42"/>
    <row r="594" ht="15.75" customHeight="1" s="42"/>
    <row r="595" ht="15.75" customHeight="1" s="42"/>
    <row r="596" ht="15.75" customHeight="1" s="42"/>
    <row r="597" ht="15.75" customHeight="1" s="42"/>
    <row r="598" ht="15.75" customHeight="1" s="42"/>
    <row r="599" ht="15.75" customHeight="1" s="42"/>
    <row r="600" ht="15.75" customHeight="1" s="42"/>
    <row r="601" ht="15.75" customHeight="1" s="42"/>
    <row r="602" ht="15.75" customHeight="1" s="42"/>
    <row r="603" ht="15.75" customHeight="1" s="42"/>
    <row r="604" ht="15.75" customHeight="1" s="42"/>
    <row r="605" ht="15.75" customHeight="1" s="42"/>
    <row r="606" ht="15.75" customHeight="1" s="42"/>
    <row r="607" ht="15.75" customHeight="1" s="42"/>
    <row r="608" ht="15.75" customHeight="1" s="42"/>
    <row r="609" ht="15.75" customHeight="1" s="42"/>
    <row r="610" ht="15.75" customHeight="1" s="42"/>
    <row r="611" ht="15.75" customHeight="1" s="42"/>
    <row r="612" ht="15.75" customHeight="1" s="42"/>
    <row r="613" ht="15.75" customHeight="1" s="42"/>
    <row r="614" ht="15.75" customHeight="1" s="42"/>
    <row r="615" ht="15.75" customHeight="1" s="42"/>
    <row r="616" ht="15.75" customHeight="1" s="42"/>
    <row r="617" ht="15.75" customHeight="1" s="42"/>
    <row r="618" ht="15.75" customHeight="1" s="42"/>
    <row r="619" ht="15.75" customHeight="1" s="42"/>
    <row r="620" ht="15.75" customHeight="1" s="42"/>
    <row r="621" ht="15.75" customHeight="1" s="42"/>
    <row r="622" ht="15.75" customHeight="1" s="42"/>
    <row r="623" ht="15.75" customHeight="1" s="42"/>
    <row r="624" ht="15.75" customHeight="1" s="42"/>
    <row r="625" ht="15.75" customHeight="1" s="42"/>
    <row r="626" ht="15.75" customHeight="1" s="42"/>
    <row r="627" ht="15.75" customHeight="1" s="42"/>
    <row r="628" ht="15.75" customHeight="1" s="42"/>
    <row r="629" ht="15.75" customHeight="1" s="42"/>
    <row r="630" ht="15.75" customHeight="1" s="42"/>
    <row r="631" ht="15.75" customHeight="1" s="42"/>
    <row r="632" ht="15.75" customHeight="1" s="42"/>
    <row r="633" ht="15.75" customHeight="1" s="42"/>
    <row r="634" ht="15.75" customHeight="1" s="42"/>
    <row r="635" ht="15.75" customHeight="1" s="42"/>
    <row r="636" ht="15.75" customHeight="1" s="42"/>
    <row r="637" ht="15.75" customHeight="1" s="42"/>
    <row r="638" ht="15.75" customHeight="1" s="42"/>
    <row r="639" ht="15.75" customHeight="1" s="42"/>
    <row r="640" ht="15.75" customHeight="1" s="42"/>
    <row r="641" ht="15.75" customHeight="1" s="42"/>
    <row r="642" ht="15.75" customHeight="1" s="42"/>
    <row r="643" ht="15.75" customHeight="1" s="42"/>
    <row r="644" ht="15.75" customHeight="1" s="42"/>
    <row r="645" ht="15.75" customHeight="1" s="42"/>
    <row r="646" ht="15.75" customHeight="1" s="42"/>
    <row r="647" ht="15.75" customHeight="1" s="42"/>
    <row r="648" ht="15.75" customHeight="1" s="42"/>
    <row r="649" ht="15.75" customHeight="1" s="42"/>
    <row r="650" ht="15.75" customHeight="1" s="42"/>
    <row r="651" ht="15.75" customHeight="1" s="42"/>
    <row r="652" ht="15.75" customHeight="1" s="42"/>
    <row r="653" ht="15.75" customHeight="1" s="42"/>
    <row r="654" ht="15.75" customHeight="1" s="42"/>
    <row r="655" ht="15.75" customHeight="1" s="42"/>
    <row r="656" ht="15.75" customHeight="1" s="42"/>
    <row r="657" ht="15.75" customHeight="1" s="42"/>
    <row r="658" ht="15.75" customHeight="1" s="42"/>
    <row r="659" ht="15.75" customHeight="1" s="42"/>
    <row r="660" ht="15.75" customHeight="1" s="42"/>
    <row r="661" ht="15.75" customHeight="1" s="42"/>
    <row r="662" ht="15.75" customHeight="1" s="42"/>
    <row r="663" ht="15.75" customHeight="1" s="42"/>
    <row r="664" ht="15.75" customHeight="1" s="42"/>
    <row r="665" ht="15.75" customHeight="1" s="42"/>
    <row r="666" ht="15.75" customHeight="1" s="42"/>
    <row r="667" ht="15.75" customHeight="1" s="42"/>
    <row r="668" ht="15.75" customHeight="1" s="42"/>
    <row r="669" ht="15.75" customHeight="1" s="42"/>
    <row r="670" ht="15.75" customHeight="1" s="42"/>
    <row r="671" ht="15.75" customHeight="1" s="42"/>
    <row r="672" ht="15.75" customHeight="1" s="42"/>
    <row r="673" ht="15.75" customHeight="1" s="42"/>
    <row r="674" ht="15.75" customHeight="1" s="42"/>
    <row r="675" ht="15.75" customHeight="1" s="42"/>
    <row r="676" ht="15.75" customHeight="1" s="42"/>
    <row r="677" ht="15.75" customHeight="1" s="42"/>
    <row r="678" ht="15.75" customHeight="1" s="42"/>
    <row r="679" ht="15.75" customHeight="1" s="42"/>
    <row r="680" ht="15.75" customHeight="1" s="42"/>
    <row r="681" ht="15.75" customHeight="1" s="42"/>
    <row r="682" ht="15.75" customHeight="1" s="42"/>
    <row r="683" ht="15.75" customHeight="1" s="42"/>
    <row r="684" ht="15.75" customHeight="1" s="42"/>
    <row r="685" ht="15.75" customHeight="1" s="42"/>
    <row r="686" ht="15.75" customHeight="1" s="42"/>
    <row r="687" ht="15.75" customHeight="1" s="42"/>
    <row r="688" ht="15.75" customHeight="1" s="42"/>
    <row r="689" ht="15.75" customHeight="1" s="42"/>
    <row r="690" ht="15.75" customHeight="1" s="42"/>
    <row r="691" ht="15.75" customHeight="1" s="42"/>
    <row r="692" ht="15.75" customHeight="1" s="42"/>
    <row r="693" ht="15.75" customHeight="1" s="42"/>
    <row r="694" ht="15.75" customHeight="1" s="42"/>
    <row r="695" ht="15.75" customHeight="1" s="42"/>
    <row r="696" ht="15.75" customHeight="1" s="42"/>
    <row r="697" ht="15.75" customHeight="1" s="42"/>
    <row r="698" ht="15.75" customHeight="1" s="42"/>
    <row r="699" ht="15.75" customHeight="1" s="42"/>
    <row r="700" ht="15.75" customHeight="1" s="42"/>
    <row r="701" ht="15.75" customHeight="1" s="42"/>
    <row r="702" ht="15.75" customHeight="1" s="42"/>
    <row r="703" ht="15.75" customHeight="1" s="42"/>
    <row r="704" ht="15.75" customHeight="1" s="42"/>
    <row r="705" ht="15.75" customHeight="1" s="42"/>
    <row r="706" ht="15.75" customHeight="1" s="42"/>
    <row r="707" ht="15.75" customHeight="1" s="42"/>
    <row r="708" ht="15.75" customHeight="1" s="42"/>
    <row r="709" ht="15.75" customHeight="1" s="42"/>
    <row r="710" ht="15.75" customHeight="1" s="42"/>
    <row r="711" ht="15.75" customHeight="1" s="42"/>
    <row r="712" ht="15.75" customHeight="1" s="42"/>
    <row r="713" ht="15.75" customHeight="1" s="42"/>
    <row r="714" ht="15.75" customHeight="1" s="42"/>
    <row r="715" ht="15.75" customHeight="1" s="42"/>
    <row r="716" ht="15.75" customHeight="1" s="42"/>
    <row r="717" ht="15.75" customHeight="1" s="42"/>
    <row r="718" ht="15.75" customHeight="1" s="42"/>
    <row r="719" ht="15.75" customHeight="1" s="42"/>
    <row r="720" ht="15.75" customHeight="1" s="42"/>
    <row r="721" ht="15.75" customHeight="1" s="42"/>
    <row r="722" ht="15.75" customHeight="1" s="42"/>
    <row r="723" ht="15.75" customHeight="1" s="42"/>
    <row r="724" ht="15.75" customHeight="1" s="42"/>
    <row r="725" ht="15.75" customHeight="1" s="42"/>
    <row r="726" ht="15.75" customHeight="1" s="42"/>
    <row r="727" ht="15.75" customHeight="1" s="42"/>
    <row r="728" ht="15.75" customHeight="1" s="42"/>
    <row r="729" ht="15.75" customHeight="1" s="42"/>
    <row r="730" ht="15.75" customHeight="1" s="42"/>
    <row r="731" ht="15.75" customHeight="1" s="42"/>
    <row r="732" ht="15.75" customHeight="1" s="42"/>
    <row r="733" ht="15.75" customHeight="1" s="42"/>
    <row r="734" ht="15.75" customHeight="1" s="42"/>
    <row r="735" ht="15.75" customHeight="1" s="42"/>
    <row r="736" ht="15.75" customHeight="1" s="42"/>
    <row r="737" ht="15.75" customHeight="1" s="42"/>
    <row r="738" ht="15.75" customHeight="1" s="42"/>
    <row r="739" ht="15.75" customHeight="1" s="42"/>
    <row r="740" ht="15.75" customHeight="1" s="42"/>
    <row r="741" ht="15.75" customHeight="1" s="42"/>
    <row r="742" ht="15.75" customHeight="1" s="42"/>
    <row r="743" ht="15.75" customHeight="1" s="42"/>
    <row r="744" ht="15.75" customHeight="1" s="42"/>
    <row r="745" ht="15.75" customHeight="1" s="42"/>
    <row r="746" ht="15.75" customHeight="1" s="42"/>
    <row r="747" ht="15.75" customHeight="1" s="42"/>
    <row r="748" ht="15.75" customHeight="1" s="42"/>
    <row r="749" ht="15.75" customHeight="1" s="42"/>
    <row r="750" ht="15.75" customHeight="1" s="42"/>
    <row r="751" ht="15.75" customHeight="1" s="42"/>
    <row r="752" ht="15.75" customHeight="1" s="42"/>
    <row r="753" ht="15.75" customHeight="1" s="42"/>
    <row r="754" ht="15.75" customHeight="1" s="42"/>
    <row r="755" ht="15.75" customHeight="1" s="42"/>
    <row r="756" ht="15.75" customHeight="1" s="42"/>
    <row r="757" ht="15.75" customHeight="1" s="42"/>
    <row r="758" ht="15.75" customHeight="1" s="42"/>
    <row r="759" ht="15.75" customHeight="1" s="42"/>
    <row r="760" ht="15.75" customHeight="1" s="42"/>
    <row r="761" ht="15.75" customHeight="1" s="42"/>
    <row r="762" ht="15.75" customHeight="1" s="42"/>
    <row r="763" ht="15.75" customHeight="1" s="42"/>
    <row r="764" ht="15.75" customHeight="1" s="42"/>
    <row r="765" ht="15.75" customHeight="1" s="42"/>
    <row r="766" ht="15.75" customHeight="1" s="42"/>
    <row r="767" ht="15.75" customHeight="1" s="42"/>
    <row r="768" ht="15.75" customHeight="1" s="42"/>
    <row r="769" ht="15.75" customHeight="1" s="42"/>
    <row r="770" ht="15.75" customHeight="1" s="42"/>
    <row r="771" ht="15.75" customHeight="1" s="42"/>
    <row r="772" ht="15.75" customHeight="1" s="42"/>
    <row r="773" ht="15.75" customHeight="1" s="42"/>
    <row r="774" ht="15.75" customHeight="1" s="42"/>
    <row r="775" ht="15.75" customHeight="1" s="42"/>
    <row r="776" ht="15.75" customHeight="1" s="42"/>
    <row r="777" ht="15.75" customHeight="1" s="42"/>
    <row r="778" ht="15.75" customHeight="1" s="42"/>
    <row r="779" ht="15.75" customHeight="1" s="42"/>
    <row r="780" ht="15.75" customHeight="1" s="42"/>
    <row r="781" ht="15.75" customHeight="1" s="42"/>
    <row r="782" ht="15.75" customHeight="1" s="42"/>
    <row r="783" ht="15.75" customHeight="1" s="42"/>
    <row r="784" ht="15.75" customHeight="1" s="42"/>
    <row r="785" ht="15.75" customHeight="1" s="42"/>
    <row r="786" ht="15.75" customHeight="1" s="42"/>
    <row r="787" ht="15.75" customHeight="1" s="42"/>
    <row r="788" ht="15.75" customHeight="1" s="42"/>
    <row r="789" ht="15.75" customHeight="1" s="42"/>
    <row r="790" ht="15.75" customHeight="1" s="42"/>
    <row r="791" ht="15.75" customHeight="1" s="42"/>
    <row r="792" ht="15.75" customHeight="1" s="42"/>
    <row r="793" ht="15.75" customHeight="1" s="42"/>
    <row r="794" ht="15.75" customHeight="1" s="42"/>
    <row r="795" ht="15.75" customHeight="1" s="42"/>
    <row r="796" ht="15.75" customHeight="1" s="42"/>
    <row r="797" ht="15.75" customHeight="1" s="42"/>
    <row r="798" ht="15.75" customHeight="1" s="42"/>
    <row r="799" ht="15.75" customHeight="1" s="42"/>
    <row r="800" ht="15.75" customHeight="1" s="42"/>
    <row r="801" ht="15.75" customHeight="1" s="42"/>
    <row r="802" ht="15.75" customHeight="1" s="42"/>
    <row r="803" ht="15.75" customHeight="1" s="42"/>
    <row r="804" ht="15.75" customHeight="1" s="42"/>
    <row r="805" ht="15.75" customHeight="1" s="42"/>
    <row r="806" ht="15.75" customHeight="1" s="42"/>
    <row r="807" ht="15.75" customHeight="1" s="42"/>
    <row r="808" ht="15.75" customHeight="1" s="42"/>
    <row r="809" ht="15.75" customHeight="1" s="42"/>
    <row r="810" ht="15.75" customHeight="1" s="42"/>
    <row r="811" ht="15.75" customHeight="1" s="42"/>
    <row r="812" ht="15.75" customHeight="1" s="42"/>
    <row r="813" ht="15.75" customHeight="1" s="42"/>
    <row r="814" ht="15.75" customHeight="1" s="42"/>
    <row r="815" ht="15.75" customHeight="1" s="42"/>
    <row r="816" ht="15.75" customHeight="1" s="42"/>
    <row r="817" ht="15.75" customHeight="1" s="42"/>
    <row r="818" ht="15.75" customHeight="1" s="42"/>
    <row r="819" ht="15.75" customHeight="1" s="42"/>
    <row r="820" ht="15.75" customHeight="1" s="42"/>
    <row r="821" ht="15.75" customHeight="1" s="42"/>
    <row r="822" ht="15.75" customHeight="1" s="42"/>
    <row r="823" ht="15.75" customHeight="1" s="42"/>
    <row r="824" ht="15.75" customHeight="1" s="42"/>
    <row r="825" ht="15.75" customHeight="1" s="42"/>
    <row r="826" ht="15.75" customHeight="1" s="42"/>
    <row r="827" ht="15.75" customHeight="1" s="42"/>
    <row r="828" ht="15.75" customHeight="1" s="42"/>
    <row r="829" ht="15.75" customHeight="1" s="42"/>
    <row r="830" ht="15.75" customHeight="1" s="42"/>
    <row r="831" ht="15.75" customHeight="1" s="42"/>
    <row r="832" ht="15.75" customHeight="1" s="42"/>
    <row r="833" ht="15.75" customHeight="1" s="42"/>
    <row r="834" ht="15.75" customHeight="1" s="42"/>
    <row r="835" ht="15.75" customHeight="1" s="42"/>
    <row r="836" ht="15.75" customHeight="1" s="42"/>
    <row r="837" ht="15.75" customHeight="1" s="42"/>
    <row r="838" ht="15.75" customHeight="1" s="42"/>
    <row r="839" ht="15.75" customHeight="1" s="42"/>
    <row r="840" ht="15.75" customHeight="1" s="42"/>
    <row r="841" ht="15.75" customHeight="1" s="42"/>
    <row r="842" ht="15.75" customHeight="1" s="42"/>
    <row r="843" ht="15.75" customHeight="1" s="42"/>
    <row r="844" ht="15.75" customHeight="1" s="42"/>
    <row r="845" ht="15.75" customHeight="1" s="42"/>
    <row r="846" ht="15.75" customHeight="1" s="42"/>
    <row r="847" ht="15.75" customHeight="1" s="42"/>
    <row r="848" ht="15.75" customHeight="1" s="42"/>
    <row r="849" ht="15.75" customHeight="1" s="42"/>
    <row r="850" ht="15.75" customHeight="1" s="42"/>
    <row r="851" ht="15.75" customHeight="1" s="42"/>
    <row r="852" ht="15.75" customHeight="1" s="42"/>
    <row r="853" ht="15.75" customHeight="1" s="42"/>
    <row r="854" ht="15.75" customHeight="1" s="42"/>
    <row r="855" ht="15.75" customHeight="1" s="42"/>
    <row r="856" ht="15.75" customHeight="1" s="42"/>
    <row r="857" ht="15.75" customHeight="1" s="42"/>
    <row r="858" ht="15.75" customHeight="1" s="42"/>
    <row r="859" ht="15.75" customHeight="1" s="42"/>
    <row r="860" ht="15.75" customHeight="1" s="42"/>
    <row r="861" ht="15.75" customHeight="1" s="42"/>
    <row r="862" ht="15.75" customHeight="1" s="42"/>
    <row r="863" ht="15.75" customHeight="1" s="42"/>
    <row r="864" ht="15.75" customHeight="1" s="42"/>
    <row r="865" ht="15.75" customHeight="1" s="42"/>
    <row r="866" ht="15.75" customHeight="1" s="42"/>
    <row r="867" ht="15.75" customHeight="1" s="42"/>
    <row r="868" ht="15.75" customHeight="1" s="42"/>
    <row r="869" ht="15.75" customHeight="1" s="42"/>
    <row r="870" ht="15.75" customHeight="1" s="42"/>
    <row r="871" ht="15.75" customHeight="1" s="42"/>
    <row r="872" ht="15.75" customHeight="1" s="42"/>
    <row r="873" ht="15.75" customHeight="1" s="42"/>
    <row r="874" ht="15.75" customHeight="1" s="42"/>
    <row r="875" ht="15.75" customHeight="1" s="42"/>
    <row r="876" ht="15.75" customHeight="1" s="42"/>
    <row r="877" ht="15.75" customHeight="1" s="42"/>
    <row r="878" ht="15.75" customHeight="1" s="42"/>
    <row r="879" ht="15.75" customHeight="1" s="42"/>
    <row r="880" ht="15.75" customHeight="1" s="42"/>
    <row r="881" ht="15.75" customHeight="1" s="42"/>
    <row r="882" ht="15.75" customHeight="1" s="42"/>
    <row r="883" ht="15.75" customHeight="1" s="42"/>
    <row r="884" ht="15.75" customHeight="1" s="42"/>
    <row r="885" ht="15.75" customHeight="1" s="42"/>
    <row r="886" ht="15.75" customHeight="1" s="42"/>
    <row r="887" ht="15.75" customHeight="1" s="42"/>
    <row r="888" ht="15.75" customHeight="1" s="42"/>
    <row r="889" ht="15.75" customHeight="1" s="42"/>
    <row r="890" ht="15.75" customHeight="1" s="42"/>
    <row r="891" ht="15.75" customHeight="1" s="42"/>
    <row r="892" ht="15.75" customHeight="1" s="42"/>
    <row r="893" ht="15.75" customHeight="1" s="42"/>
    <row r="894" ht="15.75" customHeight="1" s="42"/>
    <row r="895" ht="15.75" customHeight="1" s="42"/>
    <row r="896" ht="15.75" customHeight="1" s="42"/>
    <row r="897" ht="15.75" customHeight="1" s="42"/>
    <row r="898" ht="15.75" customHeight="1" s="42"/>
    <row r="899" ht="15.75" customHeight="1" s="42"/>
    <row r="900" ht="15.75" customHeight="1" s="42"/>
    <row r="901" ht="15.75" customHeight="1" s="42"/>
    <row r="902" ht="15.75" customHeight="1" s="42"/>
    <row r="903" ht="15.75" customHeight="1" s="42"/>
    <row r="904" ht="15.75" customHeight="1" s="42"/>
    <row r="905" ht="15.75" customHeight="1" s="42"/>
    <row r="906" ht="15.75" customHeight="1" s="42"/>
    <row r="907" ht="15.75" customHeight="1" s="42"/>
    <row r="908" ht="15.75" customHeight="1" s="42"/>
    <row r="909" ht="15.75" customHeight="1" s="42"/>
    <row r="910" ht="15.75" customHeight="1" s="42"/>
    <row r="911" ht="15.75" customHeight="1" s="42"/>
    <row r="912" ht="15.75" customHeight="1" s="42"/>
    <row r="913" ht="15.75" customHeight="1" s="42"/>
    <row r="914" ht="15.75" customHeight="1" s="42"/>
    <row r="915" ht="15.75" customHeight="1" s="42"/>
    <row r="916" ht="15.75" customHeight="1" s="42"/>
    <row r="917" ht="15.75" customHeight="1" s="42"/>
    <row r="918" ht="15.75" customHeight="1" s="42"/>
    <row r="919" ht="15.75" customHeight="1" s="42"/>
    <row r="920" ht="15.75" customHeight="1" s="42"/>
    <row r="921" ht="15.75" customHeight="1" s="42"/>
    <row r="922" ht="15.75" customHeight="1" s="42"/>
    <row r="923" ht="15.75" customHeight="1" s="42"/>
    <row r="924" ht="15.75" customHeight="1" s="42"/>
    <row r="925" ht="15.75" customHeight="1" s="42"/>
    <row r="926" ht="15.75" customHeight="1" s="42"/>
    <row r="927" ht="15.75" customHeight="1" s="42"/>
    <row r="928" ht="15.75" customHeight="1" s="42"/>
    <row r="929" ht="15.75" customHeight="1" s="42"/>
    <row r="930" ht="15.75" customHeight="1" s="42"/>
    <row r="931" ht="15.75" customHeight="1" s="42"/>
    <row r="932" ht="15.75" customHeight="1" s="42"/>
    <row r="933" ht="15.75" customHeight="1" s="42"/>
    <row r="934" ht="15.75" customHeight="1" s="42"/>
    <row r="935" ht="15.75" customHeight="1" s="42"/>
    <row r="936" ht="15.75" customHeight="1" s="42"/>
    <row r="937" ht="15.75" customHeight="1" s="42"/>
    <row r="938" ht="15.75" customHeight="1" s="42"/>
    <row r="939" ht="15.75" customHeight="1" s="42"/>
    <row r="940" ht="15.75" customHeight="1" s="42"/>
    <row r="941" ht="15.75" customHeight="1" s="42"/>
    <row r="942" ht="15.75" customHeight="1" s="42"/>
    <row r="943" ht="15.75" customHeight="1" s="42"/>
    <row r="944" ht="15.75" customHeight="1" s="42"/>
    <row r="945" ht="15.75" customHeight="1" s="42"/>
    <row r="946" ht="15.75" customHeight="1" s="42"/>
    <row r="947" ht="15.75" customHeight="1" s="42"/>
    <row r="948" ht="15.75" customHeight="1" s="42"/>
    <row r="949" ht="15.75" customHeight="1" s="42"/>
    <row r="950" ht="15.75" customHeight="1" s="42"/>
    <row r="951" ht="15.75" customHeight="1" s="42"/>
    <row r="952" ht="15.75" customHeight="1" s="42"/>
    <row r="953" ht="15.75" customHeight="1" s="42"/>
    <row r="954" ht="15.75" customHeight="1" s="42"/>
    <row r="955" ht="15.75" customHeight="1" s="42"/>
    <row r="956" ht="15.75" customHeight="1" s="42"/>
    <row r="957" ht="15.75" customHeight="1" s="42"/>
    <row r="958" ht="15.75" customHeight="1" s="42"/>
    <row r="959" ht="15.75" customHeight="1" s="42"/>
    <row r="960" ht="15.75" customHeight="1" s="42"/>
    <row r="961" ht="15.75" customHeight="1" s="42"/>
    <row r="962" ht="15.75" customHeight="1" s="42"/>
    <row r="963" ht="15.75" customHeight="1" s="42"/>
    <row r="964" ht="15.75" customHeight="1" s="42"/>
    <row r="965" ht="15.75" customHeight="1" s="42"/>
    <row r="966" ht="15.75" customHeight="1" s="42"/>
    <row r="967" ht="15.75" customHeight="1" s="42"/>
    <row r="968" ht="15.75" customHeight="1" s="42"/>
    <row r="969" ht="15.75" customHeight="1" s="42"/>
    <row r="970" ht="15.75" customHeight="1" s="42"/>
    <row r="971" ht="15.75" customHeight="1" s="42"/>
    <row r="972" ht="15.75" customHeight="1" s="42"/>
    <row r="973" ht="15.75" customHeight="1" s="42"/>
    <row r="974" ht="15.75" customHeight="1" s="42"/>
    <row r="975" ht="15.75" customHeight="1" s="42"/>
    <row r="976" ht="15.75" customHeight="1" s="42"/>
    <row r="977" ht="15.75" customHeight="1" s="42"/>
    <row r="978" ht="15.75" customHeight="1" s="42"/>
    <row r="979" ht="15.75" customHeight="1" s="42"/>
    <row r="980" ht="15.75" customHeight="1" s="42"/>
    <row r="981" ht="15.75" customHeight="1" s="42"/>
    <row r="982" ht="15.75" customHeight="1" s="42"/>
    <row r="983" ht="15.75" customHeight="1" s="42"/>
    <row r="984" ht="15.75" customHeight="1" s="42"/>
    <row r="985" ht="15.75" customHeight="1" s="42"/>
    <row r="986" ht="15.75" customHeight="1" s="42"/>
    <row r="987" ht="15.75" customHeight="1" s="42"/>
    <row r="988" ht="15.75" customHeight="1" s="42"/>
    <row r="989" ht="15.75" customHeight="1" s="42"/>
    <row r="990" ht="15.75" customHeight="1" s="42"/>
    <row r="991" ht="15.75" customHeight="1" s="42"/>
    <row r="992" ht="15.75" customHeight="1" s="42"/>
    <row r="993" ht="15.75" customHeight="1" s="42"/>
    <row r="994" ht="15.75" customHeight="1" s="42"/>
    <row r="995" ht="15.75" customHeight="1" s="42"/>
    <row r="996" ht="15.75" customHeight="1" s="42"/>
    <row r="997" ht="15.75" customHeight="1" s="42"/>
    <row r="998" ht="15.75" customHeight="1" s="42"/>
    <row r="999" ht="15.75" customHeight="1" s="42"/>
    <row r="1000" ht="15.75" customHeight="1" s="42"/>
  </sheetData>
  <pageMargins left="0.75" right="0.75" top="1" bottom="1" header="0" footer="0"/>
  <pageSetup orientation="landscape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FF00FF"/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20.29" customWidth="1" style="42" min="1" max="1"/>
    <col width="13.71" customWidth="1" style="42" min="2" max="2"/>
    <col width="8.710000000000001" customWidth="1" style="42" min="3" max="26"/>
  </cols>
  <sheetData>
    <row r="1">
      <c r="A1" s="44" t="inlineStr">
        <is>
          <t>Budget Dashboard</t>
        </is>
      </c>
      <c r="B1" s="45" t="n"/>
      <c r="C1" s="45" t="n"/>
      <c r="D1" s="46" t="n"/>
    </row>
    <row r="2">
      <c r="A2" s="27" t="inlineStr">
        <is>
          <t>Total Income</t>
        </is>
      </c>
      <c r="B2" s="12">
        <f>SUM(Income!C2:C100)</f>
        <v/>
      </c>
    </row>
    <row r="3">
      <c r="A3" s="47" t="inlineStr">
        <is>
          <t>Total Due This Week</t>
        </is>
      </c>
      <c r="B3" s="48">
        <f>SUMIFS('Budget Tracker'!C:C, 'Budget Tracker'!I:I, "Yes")</f>
        <v/>
      </c>
    </row>
    <row r="4">
      <c r="A4" s="49" t="inlineStr">
        <is>
          <t>Total Due This Month</t>
        </is>
      </c>
      <c r="B4" s="50">
        <f>SUMIFS('Budget Tracker'!C:C, 'Budget Tracker'!J:J, "Yes")</f>
        <v/>
      </c>
    </row>
    <row r="5">
      <c r="A5" s="51" t="inlineStr">
        <is>
          <t>Total Overdue</t>
        </is>
      </c>
      <c r="B5" s="52">
        <f>SUMIFS('Budget Tracker'!C:C, 'Budget Tracker'!K:K, "&lt;0", 'Budget Tracker'!F:F, "Upcoming")</f>
        <v/>
      </c>
    </row>
    <row r="6">
      <c r="A6" s="51" t="inlineStr">
        <is>
          <t>Total Paid</t>
        </is>
      </c>
      <c r="B6" s="52">
        <f>SUMIFS('Budget Tracker'!C:C, 'Budget Tracker'!G:G, "yes")</f>
        <v/>
      </c>
    </row>
    <row r="21" ht="15.75" customHeight="1" s="42"/>
    <row r="22" ht="15.75" customHeight="1" s="42"/>
    <row r="23" ht="15.75" customHeight="1" s="42"/>
    <row r="24" ht="15.75" customHeight="1" s="42"/>
    <row r="25" ht="15.75" customHeight="1" s="42"/>
    <row r="26" ht="15.75" customHeight="1" s="42"/>
    <row r="27" ht="15.75" customHeight="1" s="42"/>
    <row r="28" ht="15.75" customHeight="1" s="42"/>
    <row r="29" ht="15.75" customHeight="1" s="42"/>
    <row r="30" ht="15.75" customHeight="1" s="42"/>
    <row r="31" ht="15.75" customHeight="1" s="42"/>
    <row r="32" ht="15.75" customHeight="1" s="42"/>
    <row r="33" ht="15.75" customHeight="1" s="42"/>
    <row r="34" ht="15.75" customHeight="1" s="42"/>
    <row r="35" ht="15.75" customHeight="1" s="42"/>
    <row r="36" ht="15.75" customHeight="1" s="42"/>
    <row r="37" ht="15.75" customHeight="1" s="42"/>
    <row r="38" ht="15.75" customHeight="1" s="42"/>
    <row r="39" ht="15.75" customHeight="1" s="42"/>
    <row r="40" ht="15.75" customHeight="1" s="42"/>
    <row r="41" ht="15.75" customHeight="1" s="42"/>
    <row r="42" ht="15.75" customHeight="1" s="42"/>
    <row r="43" ht="15.75" customHeight="1" s="42"/>
    <row r="44" ht="15.75" customHeight="1" s="42"/>
    <row r="45" ht="15.75" customHeight="1" s="42"/>
    <row r="46" ht="15.75" customHeight="1" s="42"/>
    <row r="47" ht="15.75" customHeight="1" s="42"/>
    <row r="48" ht="15.75" customHeight="1" s="42"/>
    <row r="49" ht="15.75" customHeight="1" s="42"/>
    <row r="50" ht="15.75" customHeight="1" s="42"/>
    <row r="51" ht="15.75" customHeight="1" s="42"/>
    <row r="52" ht="15.75" customHeight="1" s="42"/>
    <row r="53" ht="15.75" customHeight="1" s="42"/>
    <row r="54" ht="15.75" customHeight="1" s="42"/>
    <row r="55" ht="15.75" customHeight="1" s="42"/>
    <row r="56" ht="15.75" customHeight="1" s="42"/>
    <row r="57" ht="15.75" customHeight="1" s="42"/>
    <row r="58" ht="15.75" customHeight="1" s="42"/>
    <row r="59" ht="15.75" customHeight="1" s="42"/>
    <row r="60" ht="15.75" customHeight="1" s="42"/>
    <row r="61" ht="15.75" customHeight="1" s="42"/>
    <row r="62" ht="15.75" customHeight="1" s="42"/>
    <row r="63" ht="15.75" customHeight="1" s="42"/>
    <row r="64" ht="15.75" customHeight="1" s="42"/>
    <row r="65" ht="15.75" customHeight="1" s="42"/>
    <row r="66" ht="15.75" customHeight="1" s="42"/>
    <row r="67" ht="15.75" customHeight="1" s="42"/>
    <row r="68" ht="15.75" customHeight="1" s="42"/>
    <row r="69" ht="15.75" customHeight="1" s="42"/>
    <row r="70" ht="15.75" customHeight="1" s="42"/>
    <row r="71" ht="15.75" customHeight="1" s="42"/>
    <row r="72" ht="15.75" customHeight="1" s="42"/>
    <row r="73" ht="15.75" customHeight="1" s="42"/>
    <row r="74" ht="15.75" customHeight="1" s="42"/>
    <row r="75" ht="15.75" customHeight="1" s="42"/>
    <row r="76" ht="15.75" customHeight="1" s="42"/>
    <row r="77" ht="15.75" customHeight="1" s="42"/>
    <row r="78" ht="15.75" customHeight="1" s="42"/>
    <row r="79" ht="15.75" customHeight="1" s="42"/>
    <row r="80" ht="15.75" customHeight="1" s="42"/>
    <row r="81" ht="15.75" customHeight="1" s="42"/>
    <row r="82" ht="15.75" customHeight="1" s="42"/>
    <row r="83" ht="15.75" customHeight="1" s="42"/>
    <row r="84" ht="15.75" customHeight="1" s="42"/>
    <row r="85" ht="15.75" customHeight="1" s="42"/>
    <row r="86" ht="15.75" customHeight="1" s="42"/>
    <row r="87" ht="15.75" customHeight="1" s="42"/>
    <row r="88" ht="15.75" customHeight="1" s="42"/>
    <row r="89" ht="15.75" customHeight="1" s="42"/>
    <row r="90" ht="15.75" customHeight="1" s="42"/>
    <row r="91" ht="15.75" customHeight="1" s="42"/>
    <row r="92" ht="15.75" customHeight="1" s="42"/>
    <row r="93" ht="15.75" customHeight="1" s="42"/>
    <row r="94" ht="15.75" customHeight="1" s="42"/>
    <row r="95" ht="15.75" customHeight="1" s="42"/>
    <row r="96" ht="15.75" customHeight="1" s="42"/>
    <row r="97" ht="15.75" customHeight="1" s="42"/>
    <row r="98" ht="15.75" customHeight="1" s="42"/>
    <row r="99" ht="15.75" customHeight="1" s="42"/>
    <row r="100" ht="15.75" customHeight="1" s="42"/>
    <row r="101" ht="15.75" customHeight="1" s="42"/>
    <row r="102" ht="15.75" customHeight="1" s="42"/>
    <row r="103" ht="15.75" customHeight="1" s="42"/>
    <row r="104" ht="15.75" customHeight="1" s="42"/>
    <row r="105" ht="15.75" customHeight="1" s="42"/>
    <row r="106" ht="15.75" customHeight="1" s="42"/>
    <row r="107" ht="15.75" customHeight="1" s="42"/>
    <row r="108" ht="15.75" customHeight="1" s="42"/>
    <row r="109" ht="15.75" customHeight="1" s="42"/>
    <row r="110" ht="15.75" customHeight="1" s="42"/>
    <row r="111" ht="15.75" customHeight="1" s="42"/>
    <row r="112" ht="15.75" customHeight="1" s="42"/>
    <row r="113" ht="15.75" customHeight="1" s="42"/>
    <row r="114" ht="15.75" customHeight="1" s="42"/>
    <row r="115" ht="15.75" customHeight="1" s="42"/>
    <row r="116" ht="15.75" customHeight="1" s="42"/>
    <row r="117" ht="15.75" customHeight="1" s="42"/>
    <row r="118" ht="15.75" customHeight="1" s="42"/>
    <row r="119" ht="15.75" customHeight="1" s="42"/>
    <row r="120" ht="15.75" customHeight="1" s="42"/>
    <row r="121" ht="15.75" customHeight="1" s="42"/>
    <row r="122" ht="15.75" customHeight="1" s="42"/>
    <row r="123" ht="15.75" customHeight="1" s="42"/>
    <row r="124" ht="15.75" customHeight="1" s="42"/>
    <row r="125" ht="15.75" customHeight="1" s="42"/>
    <row r="126" ht="15.75" customHeight="1" s="42"/>
    <row r="127" ht="15.75" customHeight="1" s="42"/>
    <row r="128" ht="15.75" customHeight="1" s="42"/>
    <row r="129" ht="15.75" customHeight="1" s="42"/>
    <row r="130" ht="15.75" customHeight="1" s="42"/>
    <row r="131" ht="15.75" customHeight="1" s="42"/>
    <row r="132" ht="15.75" customHeight="1" s="42"/>
    <row r="133" ht="15.75" customHeight="1" s="42"/>
    <row r="134" ht="15.75" customHeight="1" s="42"/>
    <row r="135" ht="15.75" customHeight="1" s="42"/>
    <row r="136" ht="15.75" customHeight="1" s="42"/>
    <row r="137" ht="15.75" customHeight="1" s="42"/>
    <row r="138" ht="15.75" customHeight="1" s="42"/>
    <row r="139" ht="15.75" customHeight="1" s="42"/>
    <row r="140" ht="15.75" customHeight="1" s="42"/>
    <row r="141" ht="15.75" customHeight="1" s="42"/>
    <row r="142" ht="15.75" customHeight="1" s="42"/>
    <row r="143" ht="15.75" customHeight="1" s="42"/>
    <row r="144" ht="15.75" customHeight="1" s="42"/>
    <row r="145" ht="15.75" customHeight="1" s="42"/>
    <row r="146" ht="15.75" customHeight="1" s="42"/>
    <row r="147" ht="15.75" customHeight="1" s="42"/>
    <row r="148" ht="15.75" customHeight="1" s="42"/>
    <row r="149" ht="15.75" customHeight="1" s="42"/>
    <row r="150" ht="15.75" customHeight="1" s="42"/>
    <row r="151" ht="15.75" customHeight="1" s="42"/>
    <row r="152" ht="15.75" customHeight="1" s="42"/>
    <row r="153" ht="15.75" customHeight="1" s="42"/>
    <row r="154" ht="15.75" customHeight="1" s="42"/>
    <row r="155" ht="15.75" customHeight="1" s="42"/>
    <row r="156" ht="15.75" customHeight="1" s="42"/>
    <row r="157" ht="15.75" customHeight="1" s="42"/>
    <row r="158" ht="15.75" customHeight="1" s="42"/>
    <row r="159" ht="15.75" customHeight="1" s="42"/>
    <row r="160" ht="15.75" customHeight="1" s="42"/>
    <row r="161" ht="15.75" customHeight="1" s="42"/>
    <row r="162" ht="15.75" customHeight="1" s="42"/>
    <row r="163" ht="15.75" customHeight="1" s="42"/>
    <row r="164" ht="15.75" customHeight="1" s="42"/>
    <row r="165" ht="15.75" customHeight="1" s="42"/>
    <row r="166" ht="15.75" customHeight="1" s="42"/>
    <row r="167" ht="15.75" customHeight="1" s="42"/>
    <row r="168" ht="15.75" customHeight="1" s="42"/>
    <row r="169" ht="15.75" customHeight="1" s="42"/>
    <row r="170" ht="15.75" customHeight="1" s="42"/>
    <row r="171" ht="15.75" customHeight="1" s="42"/>
    <row r="172" ht="15.75" customHeight="1" s="42"/>
    <row r="173" ht="15.75" customHeight="1" s="42"/>
    <row r="174" ht="15.75" customHeight="1" s="42"/>
    <row r="175" ht="15.75" customHeight="1" s="42"/>
    <row r="176" ht="15.75" customHeight="1" s="42"/>
    <row r="177" ht="15.75" customHeight="1" s="42"/>
    <row r="178" ht="15.75" customHeight="1" s="42"/>
    <row r="179" ht="15.75" customHeight="1" s="42"/>
    <row r="180" ht="15.75" customHeight="1" s="42"/>
    <row r="181" ht="15.75" customHeight="1" s="42"/>
    <row r="182" ht="15.75" customHeight="1" s="42"/>
    <row r="183" ht="15.75" customHeight="1" s="42"/>
    <row r="184" ht="15.75" customHeight="1" s="42"/>
    <row r="185" ht="15.75" customHeight="1" s="42"/>
    <row r="186" ht="15.75" customHeight="1" s="42"/>
    <row r="187" ht="15.75" customHeight="1" s="42"/>
    <row r="188" ht="15.75" customHeight="1" s="42"/>
    <row r="189" ht="15.75" customHeight="1" s="42"/>
    <row r="190" ht="15.75" customHeight="1" s="42"/>
    <row r="191" ht="15.75" customHeight="1" s="42"/>
    <row r="192" ht="15.75" customHeight="1" s="42"/>
    <row r="193" ht="15.75" customHeight="1" s="42"/>
    <row r="194" ht="15.75" customHeight="1" s="42"/>
    <row r="195" ht="15.75" customHeight="1" s="42"/>
    <row r="196" ht="15.75" customHeight="1" s="42"/>
    <row r="197" ht="15.75" customHeight="1" s="42"/>
    <row r="198" ht="15.75" customHeight="1" s="42"/>
    <row r="199" ht="15.75" customHeight="1" s="42"/>
    <row r="200" ht="15.75" customHeight="1" s="42"/>
    <row r="201" ht="15.75" customHeight="1" s="42"/>
    <row r="202" ht="15.75" customHeight="1" s="42"/>
    <row r="203" ht="15.75" customHeight="1" s="42"/>
    <row r="204" ht="15.75" customHeight="1" s="42"/>
    <row r="205" ht="15.75" customHeight="1" s="42"/>
    <row r="206" ht="15.75" customHeight="1" s="42"/>
    <row r="207" ht="15.75" customHeight="1" s="42"/>
    <row r="208" ht="15.75" customHeight="1" s="42"/>
    <row r="209" ht="15.75" customHeight="1" s="42"/>
    <row r="210" ht="15.75" customHeight="1" s="42"/>
    <row r="211" ht="15.75" customHeight="1" s="42"/>
    <row r="212" ht="15.75" customHeight="1" s="42"/>
    <row r="213" ht="15.75" customHeight="1" s="42"/>
    <row r="214" ht="15.75" customHeight="1" s="42"/>
    <row r="215" ht="15.75" customHeight="1" s="42"/>
    <row r="216" ht="15.75" customHeight="1" s="42"/>
    <row r="217" ht="15.75" customHeight="1" s="42"/>
    <row r="218" ht="15.75" customHeight="1" s="42"/>
    <row r="219" ht="15.75" customHeight="1" s="42"/>
    <row r="220" ht="15.75" customHeight="1" s="42"/>
    <row r="221" ht="15.75" customHeight="1" s="42"/>
    <row r="222" ht="15.75" customHeight="1" s="42"/>
    <row r="223" ht="15.75" customHeight="1" s="42"/>
    <row r="224" ht="15.75" customHeight="1" s="42"/>
    <row r="225" ht="15.75" customHeight="1" s="42"/>
    <row r="226" ht="15.75" customHeight="1" s="42"/>
    <row r="227" ht="15.75" customHeight="1" s="42"/>
    <row r="228" ht="15.75" customHeight="1" s="42"/>
    <row r="229" ht="15.75" customHeight="1" s="42"/>
    <row r="230" ht="15.75" customHeight="1" s="42"/>
    <row r="231" ht="15.75" customHeight="1" s="42"/>
    <row r="232" ht="15.75" customHeight="1" s="42"/>
    <row r="233" ht="15.75" customHeight="1" s="42"/>
    <row r="234" ht="15.75" customHeight="1" s="42"/>
    <row r="235" ht="15.75" customHeight="1" s="42"/>
    <row r="236" ht="15.75" customHeight="1" s="42"/>
    <row r="237" ht="15.75" customHeight="1" s="42"/>
    <row r="238" ht="15.75" customHeight="1" s="42"/>
    <row r="239" ht="15.75" customHeight="1" s="42"/>
    <row r="240" ht="15.75" customHeight="1" s="42"/>
    <row r="241" ht="15.75" customHeight="1" s="42"/>
    <row r="242" ht="15.75" customHeight="1" s="42"/>
    <row r="243" ht="15.75" customHeight="1" s="42"/>
    <row r="244" ht="15.75" customHeight="1" s="42"/>
    <row r="245" ht="15.75" customHeight="1" s="42"/>
    <row r="246" ht="15.75" customHeight="1" s="42"/>
    <row r="247" ht="15.75" customHeight="1" s="42"/>
    <row r="248" ht="15.75" customHeight="1" s="42"/>
    <row r="249" ht="15.75" customHeight="1" s="42"/>
    <row r="250" ht="15.75" customHeight="1" s="42"/>
    <row r="251" ht="15.75" customHeight="1" s="42"/>
    <row r="252" ht="15.75" customHeight="1" s="42"/>
    <row r="253" ht="15.75" customHeight="1" s="42"/>
    <row r="254" ht="15.75" customHeight="1" s="42"/>
    <row r="255" ht="15.75" customHeight="1" s="42"/>
    <row r="256" ht="15.75" customHeight="1" s="42"/>
    <row r="257" ht="15.75" customHeight="1" s="42"/>
    <row r="258" ht="15.75" customHeight="1" s="42"/>
    <row r="259" ht="15.75" customHeight="1" s="42"/>
    <row r="260" ht="15.75" customHeight="1" s="42"/>
    <row r="261" ht="15.75" customHeight="1" s="42"/>
    <row r="262" ht="15.75" customHeight="1" s="42"/>
    <row r="263" ht="15.75" customHeight="1" s="42"/>
    <row r="264" ht="15.75" customHeight="1" s="42"/>
    <row r="265" ht="15.75" customHeight="1" s="42"/>
    <row r="266" ht="15.75" customHeight="1" s="42"/>
    <row r="267" ht="15.75" customHeight="1" s="42"/>
    <row r="268" ht="15.75" customHeight="1" s="42"/>
    <row r="269" ht="15.75" customHeight="1" s="42"/>
    <row r="270" ht="15.75" customHeight="1" s="42"/>
    <row r="271" ht="15.75" customHeight="1" s="42"/>
    <row r="272" ht="15.75" customHeight="1" s="42"/>
    <row r="273" ht="15.75" customHeight="1" s="42"/>
    <row r="274" ht="15.75" customHeight="1" s="42"/>
    <row r="275" ht="15.75" customHeight="1" s="42"/>
    <row r="276" ht="15.75" customHeight="1" s="42"/>
    <row r="277" ht="15.75" customHeight="1" s="42"/>
    <row r="278" ht="15.75" customHeight="1" s="42"/>
    <row r="279" ht="15.75" customHeight="1" s="42"/>
    <row r="280" ht="15.75" customHeight="1" s="42"/>
    <row r="281" ht="15.75" customHeight="1" s="42"/>
    <row r="282" ht="15.75" customHeight="1" s="42"/>
    <row r="283" ht="15.75" customHeight="1" s="42"/>
    <row r="284" ht="15.75" customHeight="1" s="42"/>
    <row r="285" ht="15.75" customHeight="1" s="42"/>
    <row r="286" ht="15.75" customHeight="1" s="42"/>
    <row r="287" ht="15.75" customHeight="1" s="42"/>
    <row r="288" ht="15.75" customHeight="1" s="42"/>
    <row r="289" ht="15.75" customHeight="1" s="42"/>
    <row r="290" ht="15.75" customHeight="1" s="42"/>
    <row r="291" ht="15.75" customHeight="1" s="42"/>
    <row r="292" ht="15.75" customHeight="1" s="42"/>
    <row r="293" ht="15.75" customHeight="1" s="42"/>
    <row r="294" ht="15.75" customHeight="1" s="42"/>
    <row r="295" ht="15.75" customHeight="1" s="42"/>
    <row r="296" ht="15.75" customHeight="1" s="42"/>
    <row r="297" ht="15.75" customHeight="1" s="42"/>
    <row r="298" ht="15.75" customHeight="1" s="42"/>
    <row r="299" ht="15.75" customHeight="1" s="42"/>
    <row r="300" ht="15.75" customHeight="1" s="42"/>
    <row r="301" ht="15.75" customHeight="1" s="42"/>
    <row r="302" ht="15.75" customHeight="1" s="42"/>
    <row r="303" ht="15.75" customHeight="1" s="42"/>
    <row r="304" ht="15.75" customHeight="1" s="42"/>
    <row r="305" ht="15.75" customHeight="1" s="42"/>
    <row r="306" ht="15.75" customHeight="1" s="42"/>
    <row r="307" ht="15.75" customHeight="1" s="42"/>
    <row r="308" ht="15.75" customHeight="1" s="42"/>
    <row r="309" ht="15.75" customHeight="1" s="42"/>
    <row r="310" ht="15.75" customHeight="1" s="42"/>
    <row r="311" ht="15.75" customHeight="1" s="42"/>
    <row r="312" ht="15.75" customHeight="1" s="42"/>
    <row r="313" ht="15.75" customHeight="1" s="42"/>
    <row r="314" ht="15.75" customHeight="1" s="42"/>
    <row r="315" ht="15.75" customHeight="1" s="42"/>
    <row r="316" ht="15.75" customHeight="1" s="42"/>
    <row r="317" ht="15.75" customHeight="1" s="42"/>
    <row r="318" ht="15.75" customHeight="1" s="42"/>
    <row r="319" ht="15.75" customHeight="1" s="42"/>
    <row r="320" ht="15.75" customHeight="1" s="42"/>
    <row r="321" ht="15.75" customHeight="1" s="42"/>
    <row r="322" ht="15.75" customHeight="1" s="42"/>
    <row r="323" ht="15.75" customHeight="1" s="42"/>
    <row r="324" ht="15.75" customHeight="1" s="42"/>
    <row r="325" ht="15.75" customHeight="1" s="42"/>
    <row r="326" ht="15.75" customHeight="1" s="42"/>
    <row r="327" ht="15.75" customHeight="1" s="42"/>
    <row r="328" ht="15.75" customHeight="1" s="42"/>
    <row r="329" ht="15.75" customHeight="1" s="42"/>
    <row r="330" ht="15.75" customHeight="1" s="42"/>
    <row r="331" ht="15.75" customHeight="1" s="42"/>
    <row r="332" ht="15.75" customHeight="1" s="42"/>
    <row r="333" ht="15.75" customHeight="1" s="42"/>
    <row r="334" ht="15.75" customHeight="1" s="42"/>
    <row r="335" ht="15.75" customHeight="1" s="42"/>
    <row r="336" ht="15.75" customHeight="1" s="42"/>
    <row r="337" ht="15.75" customHeight="1" s="42"/>
    <row r="338" ht="15.75" customHeight="1" s="42"/>
    <row r="339" ht="15.75" customHeight="1" s="42"/>
    <row r="340" ht="15.75" customHeight="1" s="42"/>
    <row r="341" ht="15.75" customHeight="1" s="42"/>
    <row r="342" ht="15.75" customHeight="1" s="42"/>
    <row r="343" ht="15.75" customHeight="1" s="42"/>
    <row r="344" ht="15.75" customHeight="1" s="42"/>
    <row r="345" ht="15.75" customHeight="1" s="42"/>
    <row r="346" ht="15.75" customHeight="1" s="42"/>
    <row r="347" ht="15.75" customHeight="1" s="42"/>
    <row r="348" ht="15.75" customHeight="1" s="42"/>
    <row r="349" ht="15.75" customHeight="1" s="42"/>
    <row r="350" ht="15.75" customHeight="1" s="42"/>
    <row r="351" ht="15.75" customHeight="1" s="42"/>
    <row r="352" ht="15.75" customHeight="1" s="42"/>
    <row r="353" ht="15.75" customHeight="1" s="42"/>
    <row r="354" ht="15.75" customHeight="1" s="42"/>
    <row r="355" ht="15.75" customHeight="1" s="42"/>
    <row r="356" ht="15.75" customHeight="1" s="42"/>
    <row r="357" ht="15.75" customHeight="1" s="42"/>
    <row r="358" ht="15.75" customHeight="1" s="42"/>
    <row r="359" ht="15.75" customHeight="1" s="42"/>
    <row r="360" ht="15.75" customHeight="1" s="42"/>
    <row r="361" ht="15.75" customHeight="1" s="42"/>
    <row r="362" ht="15.75" customHeight="1" s="42"/>
    <row r="363" ht="15.75" customHeight="1" s="42"/>
    <row r="364" ht="15.75" customHeight="1" s="42"/>
    <row r="365" ht="15.75" customHeight="1" s="42"/>
    <row r="366" ht="15.75" customHeight="1" s="42"/>
    <row r="367" ht="15.75" customHeight="1" s="42"/>
    <row r="368" ht="15.75" customHeight="1" s="42"/>
    <row r="369" ht="15.75" customHeight="1" s="42"/>
    <row r="370" ht="15.75" customHeight="1" s="42"/>
    <row r="371" ht="15.75" customHeight="1" s="42"/>
    <row r="372" ht="15.75" customHeight="1" s="42"/>
    <row r="373" ht="15.75" customHeight="1" s="42"/>
    <row r="374" ht="15.75" customHeight="1" s="42"/>
    <row r="375" ht="15.75" customHeight="1" s="42"/>
    <row r="376" ht="15.75" customHeight="1" s="42"/>
    <row r="377" ht="15.75" customHeight="1" s="42"/>
    <row r="378" ht="15.75" customHeight="1" s="42"/>
    <row r="379" ht="15.75" customHeight="1" s="42"/>
    <row r="380" ht="15.75" customHeight="1" s="42"/>
    <row r="381" ht="15.75" customHeight="1" s="42"/>
    <row r="382" ht="15.75" customHeight="1" s="42"/>
    <row r="383" ht="15.75" customHeight="1" s="42"/>
    <row r="384" ht="15.75" customHeight="1" s="42"/>
    <row r="385" ht="15.75" customHeight="1" s="42"/>
    <row r="386" ht="15.75" customHeight="1" s="42"/>
    <row r="387" ht="15.75" customHeight="1" s="42"/>
    <row r="388" ht="15.75" customHeight="1" s="42"/>
    <row r="389" ht="15.75" customHeight="1" s="42"/>
    <row r="390" ht="15.75" customHeight="1" s="42"/>
    <row r="391" ht="15.75" customHeight="1" s="42"/>
    <row r="392" ht="15.75" customHeight="1" s="42"/>
    <row r="393" ht="15.75" customHeight="1" s="42"/>
    <row r="394" ht="15.75" customHeight="1" s="42"/>
    <row r="395" ht="15.75" customHeight="1" s="42"/>
    <row r="396" ht="15.75" customHeight="1" s="42"/>
    <row r="397" ht="15.75" customHeight="1" s="42"/>
    <row r="398" ht="15.75" customHeight="1" s="42"/>
    <row r="399" ht="15.75" customHeight="1" s="42"/>
    <row r="400" ht="15.75" customHeight="1" s="42"/>
    <row r="401" ht="15.75" customHeight="1" s="42"/>
    <row r="402" ht="15.75" customHeight="1" s="42"/>
    <row r="403" ht="15.75" customHeight="1" s="42"/>
    <row r="404" ht="15.75" customHeight="1" s="42"/>
    <row r="405" ht="15.75" customHeight="1" s="42"/>
    <row r="406" ht="15.75" customHeight="1" s="42"/>
    <row r="407" ht="15.75" customHeight="1" s="42"/>
    <row r="408" ht="15.75" customHeight="1" s="42"/>
    <row r="409" ht="15.75" customHeight="1" s="42"/>
    <row r="410" ht="15.75" customHeight="1" s="42"/>
    <row r="411" ht="15.75" customHeight="1" s="42"/>
    <row r="412" ht="15.75" customHeight="1" s="42"/>
    <row r="413" ht="15.75" customHeight="1" s="42"/>
    <row r="414" ht="15.75" customHeight="1" s="42"/>
    <row r="415" ht="15.75" customHeight="1" s="42"/>
    <row r="416" ht="15.75" customHeight="1" s="42"/>
    <row r="417" ht="15.75" customHeight="1" s="42"/>
    <row r="418" ht="15.75" customHeight="1" s="42"/>
    <row r="419" ht="15.75" customHeight="1" s="42"/>
    <row r="420" ht="15.75" customHeight="1" s="42"/>
    <row r="421" ht="15.75" customHeight="1" s="42"/>
    <row r="422" ht="15.75" customHeight="1" s="42"/>
    <row r="423" ht="15.75" customHeight="1" s="42"/>
    <row r="424" ht="15.75" customHeight="1" s="42"/>
    <row r="425" ht="15.75" customHeight="1" s="42"/>
    <row r="426" ht="15.75" customHeight="1" s="42"/>
    <row r="427" ht="15.75" customHeight="1" s="42"/>
    <row r="428" ht="15.75" customHeight="1" s="42"/>
    <row r="429" ht="15.75" customHeight="1" s="42"/>
    <row r="430" ht="15.75" customHeight="1" s="42"/>
    <row r="431" ht="15.75" customHeight="1" s="42"/>
    <row r="432" ht="15.75" customHeight="1" s="42"/>
    <row r="433" ht="15.75" customHeight="1" s="42"/>
    <row r="434" ht="15.75" customHeight="1" s="42"/>
    <row r="435" ht="15.75" customHeight="1" s="42"/>
    <row r="436" ht="15.75" customHeight="1" s="42"/>
    <row r="437" ht="15.75" customHeight="1" s="42"/>
    <row r="438" ht="15.75" customHeight="1" s="42"/>
    <row r="439" ht="15.75" customHeight="1" s="42"/>
    <row r="440" ht="15.75" customHeight="1" s="42"/>
    <row r="441" ht="15.75" customHeight="1" s="42"/>
    <row r="442" ht="15.75" customHeight="1" s="42"/>
    <row r="443" ht="15.75" customHeight="1" s="42"/>
    <row r="444" ht="15.75" customHeight="1" s="42"/>
    <row r="445" ht="15.75" customHeight="1" s="42"/>
    <row r="446" ht="15.75" customHeight="1" s="42"/>
    <row r="447" ht="15.75" customHeight="1" s="42"/>
    <row r="448" ht="15.75" customHeight="1" s="42"/>
    <row r="449" ht="15.75" customHeight="1" s="42"/>
    <row r="450" ht="15.75" customHeight="1" s="42"/>
    <row r="451" ht="15.75" customHeight="1" s="42"/>
    <row r="452" ht="15.75" customHeight="1" s="42"/>
    <row r="453" ht="15.75" customHeight="1" s="42"/>
    <row r="454" ht="15.75" customHeight="1" s="42"/>
    <row r="455" ht="15.75" customHeight="1" s="42"/>
    <row r="456" ht="15.75" customHeight="1" s="42"/>
    <row r="457" ht="15.75" customHeight="1" s="42"/>
    <row r="458" ht="15.75" customHeight="1" s="42"/>
    <row r="459" ht="15.75" customHeight="1" s="42"/>
    <row r="460" ht="15.75" customHeight="1" s="42"/>
    <row r="461" ht="15.75" customHeight="1" s="42"/>
    <row r="462" ht="15.75" customHeight="1" s="42"/>
    <row r="463" ht="15.75" customHeight="1" s="42"/>
    <row r="464" ht="15.75" customHeight="1" s="42"/>
    <row r="465" ht="15.75" customHeight="1" s="42"/>
    <row r="466" ht="15.75" customHeight="1" s="42"/>
    <row r="467" ht="15.75" customHeight="1" s="42"/>
    <row r="468" ht="15.75" customHeight="1" s="42"/>
    <row r="469" ht="15.75" customHeight="1" s="42"/>
    <row r="470" ht="15.75" customHeight="1" s="42"/>
    <row r="471" ht="15.75" customHeight="1" s="42"/>
    <row r="472" ht="15.75" customHeight="1" s="42"/>
    <row r="473" ht="15.75" customHeight="1" s="42"/>
    <row r="474" ht="15.75" customHeight="1" s="42"/>
    <row r="475" ht="15.75" customHeight="1" s="42"/>
    <row r="476" ht="15.75" customHeight="1" s="42"/>
    <row r="477" ht="15.75" customHeight="1" s="42"/>
    <row r="478" ht="15.75" customHeight="1" s="42"/>
    <row r="479" ht="15.75" customHeight="1" s="42"/>
    <row r="480" ht="15.75" customHeight="1" s="42"/>
    <row r="481" ht="15.75" customHeight="1" s="42"/>
    <row r="482" ht="15.75" customHeight="1" s="42"/>
    <row r="483" ht="15.75" customHeight="1" s="42"/>
    <row r="484" ht="15.75" customHeight="1" s="42"/>
    <row r="485" ht="15.75" customHeight="1" s="42"/>
    <row r="486" ht="15.75" customHeight="1" s="42"/>
    <row r="487" ht="15.75" customHeight="1" s="42"/>
    <row r="488" ht="15.75" customHeight="1" s="42"/>
    <row r="489" ht="15.75" customHeight="1" s="42"/>
    <row r="490" ht="15.75" customHeight="1" s="42"/>
    <row r="491" ht="15.75" customHeight="1" s="42"/>
    <row r="492" ht="15.75" customHeight="1" s="42"/>
    <row r="493" ht="15.75" customHeight="1" s="42"/>
    <row r="494" ht="15.75" customHeight="1" s="42"/>
    <row r="495" ht="15.75" customHeight="1" s="42"/>
    <row r="496" ht="15.75" customHeight="1" s="42"/>
    <row r="497" ht="15.75" customHeight="1" s="42"/>
    <row r="498" ht="15.75" customHeight="1" s="42"/>
    <row r="499" ht="15.75" customHeight="1" s="42"/>
    <row r="500" ht="15.75" customHeight="1" s="42"/>
    <row r="501" ht="15.75" customHeight="1" s="42"/>
    <row r="502" ht="15.75" customHeight="1" s="42"/>
    <row r="503" ht="15.75" customHeight="1" s="42"/>
    <row r="504" ht="15.75" customHeight="1" s="42"/>
    <row r="505" ht="15.75" customHeight="1" s="42"/>
    <row r="506" ht="15.75" customHeight="1" s="42"/>
    <row r="507" ht="15.75" customHeight="1" s="42"/>
    <row r="508" ht="15.75" customHeight="1" s="42"/>
    <row r="509" ht="15.75" customHeight="1" s="42"/>
    <row r="510" ht="15.75" customHeight="1" s="42"/>
    <row r="511" ht="15.75" customHeight="1" s="42"/>
    <row r="512" ht="15.75" customHeight="1" s="42"/>
    <row r="513" ht="15.75" customHeight="1" s="42"/>
    <row r="514" ht="15.75" customHeight="1" s="42"/>
    <row r="515" ht="15.75" customHeight="1" s="42"/>
    <row r="516" ht="15.75" customHeight="1" s="42"/>
    <row r="517" ht="15.75" customHeight="1" s="42"/>
    <row r="518" ht="15.75" customHeight="1" s="42"/>
    <row r="519" ht="15.75" customHeight="1" s="42"/>
    <row r="520" ht="15.75" customHeight="1" s="42"/>
    <row r="521" ht="15.75" customHeight="1" s="42"/>
    <row r="522" ht="15.75" customHeight="1" s="42"/>
    <row r="523" ht="15.75" customHeight="1" s="42"/>
    <row r="524" ht="15.75" customHeight="1" s="42"/>
    <row r="525" ht="15.75" customHeight="1" s="42"/>
    <row r="526" ht="15.75" customHeight="1" s="42"/>
    <row r="527" ht="15.75" customHeight="1" s="42"/>
    <row r="528" ht="15.75" customHeight="1" s="42"/>
    <row r="529" ht="15.75" customHeight="1" s="42"/>
    <row r="530" ht="15.75" customHeight="1" s="42"/>
    <row r="531" ht="15.75" customHeight="1" s="42"/>
    <row r="532" ht="15.75" customHeight="1" s="42"/>
    <row r="533" ht="15.75" customHeight="1" s="42"/>
    <row r="534" ht="15.75" customHeight="1" s="42"/>
    <row r="535" ht="15.75" customHeight="1" s="42"/>
    <row r="536" ht="15.75" customHeight="1" s="42"/>
    <row r="537" ht="15.75" customHeight="1" s="42"/>
    <row r="538" ht="15.75" customHeight="1" s="42"/>
    <row r="539" ht="15.75" customHeight="1" s="42"/>
    <row r="540" ht="15.75" customHeight="1" s="42"/>
    <row r="541" ht="15.75" customHeight="1" s="42"/>
    <row r="542" ht="15.75" customHeight="1" s="42"/>
    <row r="543" ht="15.75" customHeight="1" s="42"/>
    <row r="544" ht="15.75" customHeight="1" s="42"/>
    <row r="545" ht="15.75" customHeight="1" s="42"/>
    <row r="546" ht="15.75" customHeight="1" s="42"/>
    <row r="547" ht="15.75" customHeight="1" s="42"/>
    <row r="548" ht="15.75" customHeight="1" s="42"/>
    <row r="549" ht="15.75" customHeight="1" s="42"/>
    <row r="550" ht="15.75" customHeight="1" s="42"/>
    <row r="551" ht="15.75" customHeight="1" s="42"/>
    <row r="552" ht="15.75" customHeight="1" s="42"/>
    <row r="553" ht="15.75" customHeight="1" s="42"/>
    <row r="554" ht="15.75" customHeight="1" s="42"/>
    <row r="555" ht="15.75" customHeight="1" s="42"/>
    <row r="556" ht="15.75" customHeight="1" s="42"/>
    <row r="557" ht="15.75" customHeight="1" s="42"/>
    <row r="558" ht="15.75" customHeight="1" s="42"/>
    <row r="559" ht="15.75" customHeight="1" s="42"/>
    <row r="560" ht="15.75" customHeight="1" s="42"/>
    <row r="561" ht="15.75" customHeight="1" s="42"/>
    <row r="562" ht="15.75" customHeight="1" s="42"/>
    <row r="563" ht="15.75" customHeight="1" s="42"/>
    <row r="564" ht="15.75" customHeight="1" s="42"/>
    <row r="565" ht="15.75" customHeight="1" s="42"/>
    <row r="566" ht="15.75" customHeight="1" s="42"/>
    <row r="567" ht="15.75" customHeight="1" s="42"/>
    <row r="568" ht="15.75" customHeight="1" s="42"/>
    <row r="569" ht="15.75" customHeight="1" s="42"/>
    <row r="570" ht="15.75" customHeight="1" s="42"/>
    <row r="571" ht="15.75" customHeight="1" s="42"/>
    <row r="572" ht="15.75" customHeight="1" s="42"/>
    <row r="573" ht="15.75" customHeight="1" s="42"/>
    <row r="574" ht="15.75" customHeight="1" s="42"/>
    <row r="575" ht="15.75" customHeight="1" s="42"/>
    <row r="576" ht="15.75" customHeight="1" s="42"/>
    <row r="577" ht="15.75" customHeight="1" s="42"/>
    <row r="578" ht="15.75" customHeight="1" s="42"/>
    <row r="579" ht="15.75" customHeight="1" s="42"/>
    <row r="580" ht="15.75" customHeight="1" s="42"/>
    <row r="581" ht="15.75" customHeight="1" s="42"/>
    <row r="582" ht="15.75" customHeight="1" s="42"/>
    <row r="583" ht="15.75" customHeight="1" s="42"/>
    <row r="584" ht="15.75" customHeight="1" s="42"/>
    <row r="585" ht="15.75" customHeight="1" s="42"/>
    <row r="586" ht="15.75" customHeight="1" s="42"/>
    <row r="587" ht="15.75" customHeight="1" s="42"/>
    <row r="588" ht="15.75" customHeight="1" s="42"/>
    <row r="589" ht="15.75" customHeight="1" s="42"/>
    <row r="590" ht="15.75" customHeight="1" s="42"/>
    <row r="591" ht="15.75" customHeight="1" s="42"/>
    <row r="592" ht="15.75" customHeight="1" s="42"/>
    <row r="593" ht="15.75" customHeight="1" s="42"/>
    <row r="594" ht="15.75" customHeight="1" s="42"/>
    <row r="595" ht="15.75" customHeight="1" s="42"/>
    <row r="596" ht="15.75" customHeight="1" s="42"/>
    <row r="597" ht="15.75" customHeight="1" s="42"/>
    <row r="598" ht="15.75" customHeight="1" s="42"/>
    <row r="599" ht="15.75" customHeight="1" s="42"/>
    <row r="600" ht="15.75" customHeight="1" s="42"/>
    <row r="601" ht="15.75" customHeight="1" s="42"/>
    <row r="602" ht="15.75" customHeight="1" s="42"/>
    <row r="603" ht="15.75" customHeight="1" s="42"/>
    <row r="604" ht="15.75" customHeight="1" s="42"/>
    <row r="605" ht="15.75" customHeight="1" s="42"/>
    <row r="606" ht="15.75" customHeight="1" s="42"/>
    <row r="607" ht="15.75" customHeight="1" s="42"/>
    <row r="608" ht="15.75" customHeight="1" s="42"/>
    <row r="609" ht="15.75" customHeight="1" s="42"/>
    <row r="610" ht="15.75" customHeight="1" s="42"/>
    <row r="611" ht="15.75" customHeight="1" s="42"/>
    <row r="612" ht="15.75" customHeight="1" s="42"/>
    <row r="613" ht="15.75" customHeight="1" s="42"/>
    <row r="614" ht="15.75" customHeight="1" s="42"/>
    <row r="615" ht="15.75" customHeight="1" s="42"/>
    <row r="616" ht="15.75" customHeight="1" s="42"/>
    <row r="617" ht="15.75" customHeight="1" s="42"/>
    <row r="618" ht="15.75" customHeight="1" s="42"/>
    <row r="619" ht="15.75" customHeight="1" s="42"/>
    <row r="620" ht="15.75" customHeight="1" s="42"/>
    <row r="621" ht="15.75" customHeight="1" s="42"/>
    <row r="622" ht="15.75" customHeight="1" s="42"/>
    <row r="623" ht="15.75" customHeight="1" s="42"/>
    <row r="624" ht="15.75" customHeight="1" s="42"/>
    <row r="625" ht="15.75" customHeight="1" s="42"/>
    <row r="626" ht="15.75" customHeight="1" s="42"/>
    <row r="627" ht="15.75" customHeight="1" s="42"/>
    <row r="628" ht="15.75" customHeight="1" s="42"/>
    <row r="629" ht="15.75" customHeight="1" s="42"/>
    <row r="630" ht="15.75" customHeight="1" s="42"/>
    <row r="631" ht="15.75" customHeight="1" s="42"/>
    <row r="632" ht="15.75" customHeight="1" s="42"/>
    <row r="633" ht="15.75" customHeight="1" s="42"/>
    <row r="634" ht="15.75" customHeight="1" s="42"/>
    <row r="635" ht="15.75" customHeight="1" s="42"/>
    <row r="636" ht="15.75" customHeight="1" s="42"/>
    <row r="637" ht="15.75" customHeight="1" s="42"/>
    <row r="638" ht="15.75" customHeight="1" s="42"/>
    <row r="639" ht="15.75" customHeight="1" s="42"/>
    <row r="640" ht="15.75" customHeight="1" s="42"/>
    <row r="641" ht="15.75" customHeight="1" s="42"/>
    <row r="642" ht="15.75" customHeight="1" s="42"/>
    <row r="643" ht="15.75" customHeight="1" s="42"/>
    <row r="644" ht="15.75" customHeight="1" s="42"/>
    <row r="645" ht="15.75" customHeight="1" s="42"/>
    <row r="646" ht="15.75" customHeight="1" s="42"/>
    <row r="647" ht="15.75" customHeight="1" s="42"/>
    <row r="648" ht="15.75" customHeight="1" s="42"/>
    <row r="649" ht="15.75" customHeight="1" s="42"/>
    <row r="650" ht="15.75" customHeight="1" s="42"/>
    <row r="651" ht="15.75" customHeight="1" s="42"/>
    <row r="652" ht="15.75" customHeight="1" s="42"/>
    <row r="653" ht="15.75" customHeight="1" s="42"/>
    <row r="654" ht="15.75" customHeight="1" s="42"/>
    <row r="655" ht="15.75" customHeight="1" s="42"/>
    <row r="656" ht="15.75" customHeight="1" s="42"/>
    <row r="657" ht="15.75" customHeight="1" s="42"/>
    <row r="658" ht="15.75" customHeight="1" s="42"/>
    <row r="659" ht="15.75" customHeight="1" s="42"/>
    <row r="660" ht="15.75" customHeight="1" s="42"/>
    <row r="661" ht="15.75" customHeight="1" s="42"/>
    <row r="662" ht="15.75" customHeight="1" s="42"/>
    <row r="663" ht="15.75" customHeight="1" s="42"/>
    <row r="664" ht="15.75" customHeight="1" s="42"/>
    <row r="665" ht="15.75" customHeight="1" s="42"/>
    <row r="666" ht="15.75" customHeight="1" s="42"/>
    <row r="667" ht="15.75" customHeight="1" s="42"/>
    <row r="668" ht="15.75" customHeight="1" s="42"/>
    <row r="669" ht="15.75" customHeight="1" s="42"/>
    <row r="670" ht="15.75" customHeight="1" s="42"/>
    <row r="671" ht="15.75" customHeight="1" s="42"/>
    <row r="672" ht="15.75" customHeight="1" s="42"/>
    <row r="673" ht="15.75" customHeight="1" s="42"/>
    <row r="674" ht="15.75" customHeight="1" s="42"/>
    <row r="675" ht="15.75" customHeight="1" s="42"/>
    <row r="676" ht="15.75" customHeight="1" s="42"/>
    <row r="677" ht="15.75" customHeight="1" s="42"/>
    <row r="678" ht="15.75" customHeight="1" s="42"/>
    <row r="679" ht="15.75" customHeight="1" s="42"/>
    <row r="680" ht="15.75" customHeight="1" s="42"/>
    <row r="681" ht="15.75" customHeight="1" s="42"/>
    <row r="682" ht="15.75" customHeight="1" s="42"/>
    <row r="683" ht="15.75" customHeight="1" s="42"/>
    <row r="684" ht="15.75" customHeight="1" s="42"/>
    <row r="685" ht="15.75" customHeight="1" s="42"/>
    <row r="686" ht="15.75" customHeight="1" s="42"/>
    <row r="687" ht="15.75" customHeight="1" s="42"/>
    <row r="688" ht="15.75" customHeight="1" s="42"/>
    <row r="689" ht="15.75" customHeight="1" s="42"/>
    <row r="690" ht="15.75" customHeight="1" s="42"/>
    <row r="691" ht="15.75" customHeight="1" s="42"/>
    <row r="692" ht="15.75" customHeight="1" s="42"/>
    <row r="693" ht="15.75" customHeight="1" s="42"/>
    <row r="694" ht="15.75" customHeight="1" s="42"/>
    <row r="695" ht="15.75" customHeight="1" s="42"/>
    <row r="696" ht="15.75" customHeight="1" s="42"/>
    <row r="697" ht="15.75" customHeight="1" s="42"/>
    <row r="698" ht="15.75" customHeight="1" s="42"/>
    <row r="699" ht="15.75" customHeight="1" s="42"/>
    <row r="700" ht="15.75" customHeight="1" s="42"/>
    <row r="701" ht="15.75" customHeight="1" s="42"/>
    <row r="702" ht="15.75" customHeight="1" s="42"/>
    <row r="703" ht="15.75" customHeight="1" s="42"/>
    <row r="704" ht="15.75" customHeight="1" s="42"/>
    <row r="705" ht="15.75" customHeight="1" s="42"/>
    <row r="706" ht="15.75" customHeight="1" s="42"/>
    <row r="707" ht="15.75" customHeight="1" s="42"/>
    <row r="708" ht="15.75" customHeight="1" s="42"/>
    <row r="709" ht="15.75" customHeight="1" s="42"/>
    <row r="710" ht="15.75" customHeight="1" s="42"/>
    <row r="711" ht="15.75" customHeight="1" s="42"/>
    <row r="712" ht="15.75" customHeight="1" s="42"/>
    <row r="713" ht="15.75" customHeight="1" s="42"/>
    <row r="714" ht="15.75" customHeight="1" s="42"/>
    <row r="715" ht="15.75" customHeight="1" s="42"/>
    <row r="716" ht="15.75" customHeight="1" s="42"/>
    <row r="717" ht="15.75" customHeight="1" s="42"/>
    <row r="718" ht="15.75" customHeight="1" s="42"/>
    <row r="719" ht="15.75" customHeight="1" s="42"/>
    <row r="720" ht="15.75" customHeight="1" s="42"/>
    <row r="721" ht="15.75" customHeight="1" s="42"/>
    <row r="722" ht="15.75" customHeight="1" s="42"/>
    <row r="723" ht="15.75" customHeight="1" s="42"/>
    <row r="724" ht="15.75" customHeight="1" s="42"/>
    <row r="725" ht="15.75" customHeight="1" s="42"/>
    <row r="726" ht="15.75" customHeight="1" s="42"/>
    <row r="727" ht="15.75" customHeight="1" s="42"/>
    <row r="728" ht="15.75" customHeight="1" s="42"/>
    <row r="729" ht="15.75" customHeight="1" s="42"/>
    <row r="730" ht="15.75" customHeight="1" s="42"/>
    <row r="731" ht="15.75" customHeight="1" s="42"/>
    <row r="732" ht="15.75" customHeight="1" s="42"/>
    <row r="733" ht="15.75" customHeight="1" s="42"/>
    <row r="734" ht="15.75" customHeight="1" s="42"/>
    <row r="735" ht="15.75" customHeight="1" s="42"/>
    <row r="736" ht="15.75" customHeight="1" s="42"/>
    <row r="737" ht="15.75" customHeight="1" s="42"/>
    <row r="738" ht="15.75" customHeight="1" s="42"/>
    <row r="739" ht="15.75" customHeight="1" s="42"/>
    <row r="740" ht="15.75" customHeight="1" s="42"/>
    <row r="741" ht="15.75" customHeight="1" s="42"/>
    <row r="742" ht="15.75" customHeight="1" s="42"/>
    <row r="743" ht="15.75" customHeight="1" s="42"/>
    <row r="744" ht="15.75" customHeight="1" s="42"/>
    <row r="745" ht="15.75" customHeight="1" s="42"/>
    <row r="746" ht="15.75" customHeight="1" s="42"/>
    <row r="747" ht="15.75" customHeight="1" s="42"/>
    <row r="748" ht="15.75" customHeight="1" s="42"/>
    <row r="749" ht="15.75" customHeight="1" s="42"/>
    <row r="750" ht="15.75" customHeight="1" s="42"/>
    <row r="751" ht="15.75" customHeight="1" s="42"/>
    <row r="752" ht="15.75" customHeight="1" s="42"/>
    <row r="753" ht="15.75" customHeight="1" s="42"/>
    <row r="754" ht="15.75" customHeight="1" s="42"/>
    <row r="755" ht="15.75" customHeight="1" s="42"/>
    <row r="756" ht="15.75" customHeight="1" s="42"/>
    <row r="757" ht="15.75" customHeight="1" s="42"/>
    <row r="758" ht="15.75" customHeight="1" s="42"/>
    <row r="759" ht="15.75" customHeight="1" s="42"/>
    <row r="760" ht="15.75" customHeight="1" s="42"/>
    <row r="761" ht="15.75" customHeight="1" s="42"/>
    <row r="762" ht="15.75" customHeight="1" s="42"/>
    <row r="763" ht="15.75" customHeight="1" s="42"/>
    <row r="764" ht="15.75" customHeight="1" s="42"/>
    <row r="765" ht="15.75" customHeight="1" s="42"/>
    <row r="766" ht="15.75" customHeight="1" s="42"/>
    <row r="767" ht="15.75" customHeight="1" s="42"/>
    <row r="768" ht="15.75" customHeight="1" s="42"/>
    <row r="769" ht="15.75" customHeight="1" s="42"/>
    <row r="770" ht="15.75" customHeight="1" s="42"/>
    <row r="771" ht="15.75" customHeight="1" s="42"/>
    <row r="772" ht="15.75" customHeight="1" s="42"/>
    <row r="773" ht="15.75" customHeight="1" s="42"/>
    <row r="774" ht="15.75" customHeight="1" s="42"/>
    <row r="775" ht="15.75" customHeight="1" s="42"/>
    <row r="776" ht="15.75" customHeight="1" s="42"/>
    <row r="777" ht="15.75" customHeight="1" s="42"/>
    <row r="778" ht="15.75" customHeight="1" s="42"/>
    <row r="779" ht="15.75" customHeight="1" s="42"/>
    <row r="780" ht="15.75" customHeight="1" s="42"/>
    <row r="781" ht="15.75" customHeight="1" s="42"/>
    <row r="782" ht="15.75" customHeight="1" s="42"/>
    <row r="783" ht="15.75" customHeight="1" s="42"/>
    <row r="784" ht="15.75" customHeight="1" s="42"/>
    <row r="785" ht="15.75" customHeight="1" s="42"/>
    <row r="786" ht="15.75" customHeight="1" s="42"/>
    <row r="787" ht="15.75" customHeight="1" s="42"/>
    <row r="788" ht="15.75" customHeight="1" s="42"/>
    <row r="789" ht="15.75" customHeight="1" s="42"/>
    <row r="790" ht="15.75" customHeight="1" s="42"/>
    <row r="791" ht="15.75" customHeight="1" s="42"/>
    <row r="792" ht="15.75" customHeight="1" s="42"/>
    <row r="793" ht="15.75" customHeight="1" s="42"/>
    <row r="794" ht="15.75" customHeight="1" s="42"/>
    <row r="795" ht="15.75" customHeight="1" s="42"/>
    <row r="796" ht="15.75" customHeight="1" s="42"/>
    <row r="797" ht="15.75" customHeight="1" s="42"/>
    <row r="798" ht="15.75" customHeight="1" s="42"/>
    <row r="799" ht="15.75" customHeight="1" s="42"/>
    <row r="800" ht="15.75" customHeight="1" s="42"/>
    <row r="801" ht="15.75" customHeight="1" s="42"/>
    <row r="802" ht="15.75" customHeight="1" s="42"/>
    <row r="803" ht="15.75" customHeight="1" s="42"/>
    <row r="804" ht="15.75" customHeight="1" s="42"/>
    <row r="805" ht="15.75" customHeight="1" s="42"/>
    <row r="806" ht="15.75" customHeight="1" s="42"/>
    <row r="807" ht="15.75" customHeight="1" s="42"/>
    <row r="808" ht="15.75" customHeight="1" s="42"/>
    <row r="809" ht="15.75" customHeight="1" s="42"/>
    <row r="810" ht="15.75" customHeight="1" s="42"/>
    <row r="811" ht="15.75" customHeight="1" s="42"/>
    <row r="812" ht="15.75" customHeight="1" s="42"/>
    <row r="813" ht="15.75" customHeight="1" s="42"/>
    <row r="814" ht="15.75" customHeight="1" s="42"/>
    <row r="815" ht="15.75" customHeight="1" s="42"/>
    <row r="816" ht="15.75" customHeight="1" s="42"/>
    <row r="817" ht="15.75" customHeight="1" s="42"/>
    <row r="818" ht="15.75" customHeight="1" s="42"/>
    <row r="819" ht="15.75" customHeight="1" s="42"/>
    <row r="820" ht="15.75" customHeight="1" s="42"/>
    <row r="821" ht="15.75" customHeight="1" s="42"/>
    <row r="822" ht="15.75" customHeight="1" s="42"/>
    <row r="823" ht="15.75" customHeight="1" s="42"/>
    <row r="824" ht="15.75" customHeight="1" s="42"/>
    <row r="825" ht="15.75" customHeight="1" s="42"/>
    <row r="826" ht="15.75" customHeight="1" s="42"/>
    <row r="827" ht="15.75" customHeight="1" s="42"/>
    <row r="828" ht="15.75" customHeight="1" s="42"/>
    <row r="829" ht="15.75" customHeight="1" s="42"/>
    <row r="830" ht="15.75" customHeight="1" s="42"/>
    <row r="831" ht="15.75" customHeight="1" s="42"/>
    <row r="832" ht="15.75" customHeight="1" s="42"/>
    <row r="833" ht="15.75" customHeight="1" s="42"/>
    <row r="834" ht="15.75" customHeight="1" s="42"/>
    <row r="835" ht="15.75" customHeight="1" s="42"/>
    <row r="836" ht="15.75" customHeight="1" s="42"/>
    <row r="837" ht="15.75" customHeight="1" s="42"/>
    <row r="838" ht="15.75" customHeight="1" s="42"/>
    <row r="839" ht="15.75" customHeight="1" s="42"/>
    <row r="840" ht="15.75" customHeight="1" s="42"/>
    <row r="841" ht="15.75" customHeight="1" s="42"/>
    <row r="842" ht="15.75" customHeight="1" s="42"/>
    <row r="843" ht="15.75" customHeight="1" s="42"/>
    <row r="844" ht="15.75" customHeight="1" s="42"/>
    <row r="845" ht="15.75" customHeight="1" s="42"/>
    <row r="846" ht="15.75" customHeight="1" s="42"/>
    <row r="847" ht="15.75" customHeight="1" s="42"/>
    <row r="848" ht="15.75" customHeight="1" s="42"/>
    <row r="849" ht="15.75" customHeight="1" s="42"/>
    <row r="850" ht="15.75" customHeight="1" s="42"/>
    <row r="851" ht="15.75" customHeight="1" s="42"/>
    <row r="852" ht="15.75" customHeight="1" s="42"/>
    <row r="853" ht="15.75" customHeight="1" s="42"/>
    <row r="854" ht="15.75" customHeight="1" s="42"/>
    <row r="855" ht="15.75" customHeight="1" s="42"/>
    <row r="856" ht="15.75" customHeight="1" s="42"/>
    <row r="857" ht="15.75" customHeight="1" s="42"/>
    <row r="858" ht="15.75" customHeight="1" s="42"/>
    <row r="859" ht="15.75" customHeight="1" s="42"/>
    <row r="860" ht="15.75" customHeight="1" s="42"/>
    <row r="861" ht="15.75" customHeight="1" s="42"/>
    <row r="862" ht="15.75" customHeight="1" s="42"/>
    <row r="863" ht="15.75" customHeight="1" s="42"/>
    <row r="864" ht="15.75" customHeight="1" s="42"/>
    <row r="865" ht="15.75" customHeight="1" s="42"/>
    <row r="866" ht="15.75" customHeight="1" s="42"/>
    <row r="867" ht="15.75" customHeight="1" s="42"/>
    <row r="868" ht="15.75" customHeight="1" s="42"/>
    <row r="869" ht="15.75" customHeight="1" s="42"/>
    <row r="870" ht="15.75" customHeight="1" s="42"/>
    <row r="871" ht="15.75" customHeight="1" s="42"/>
    <row r="872" ht="15.75" customHeight="1" s="42"/>
    <row r="873" ht="15.75" customHeight="1" s="42"/>
    <row r="874" ht="15.75" customHeight="1" s="42"/>
    <row r="875" ht="15.75" customHeight="1" s="42"/>
    <row r="876" ht="15.75" customHeight="1" s="42"/>
    <row r="877" ht="15.75" customHeight="1" s="42"/>
    <row r="878" ht="15.75" customHeight="1" s="42"/>
    <row r="879" ht="15.75" customHeight="1" s="42"/>
    <row r="880" ht="15.75" customHeight="1" s="42"/>
    <row r="881" ht="15.75" customHeight="1" s="42"/>
    <row r="882" ht="15.75" customHeight="1" s="42"/>
    <row r="883" ht="15.75" customHeight="1" s="42"/>
    <row r="884" ht="15.75" customHeight="1" s="42"/>
    <row r="885" ht="15.75" customHeight="1" s="42"/>
    <row r="886" ht="15.75" customHeight="1" s="42"/>
    <row r="887" ht="15.75" customHeight="1" s="42"/>
    <row r="888" ht="15.75" customHeight="1" s="42"/>
    <row r="889" ht="15.75" customHeight="1" s="42"/>
    <row r="890" ht="15.75" customHeight="1" s="42"/>
    <row r="891" ht="15.75" customHeight="1" s="42"/>
    <row r="892" ht="15.75" customHeight="1" s="42"/>
    <row r="893" ht="15.75" customHeight="1" s="42"/>
    <row r="894" ht="15.75" customHeight="1" s="42"/>
    <row r="895" ht="15.75" customHeight="1" s="42"/>
    <row r="896" ht="15.75" customHeight="1" s="42"/>
    <row r="897" ht="15.75" customHeight="1" s="42"/>
    <row r="898" ht="15.75" customHeight="1" s="42"/>
    <row r="899" ht="15.75" customHeight="1" s="42"/>
    <row r="900" ht="15.75" customHeight="1" s="42"/>
    <row r="901" ht="15.75" customHeight="1" s="42"/>
    <row r="902" ht="15.75" customHeight="1" s="42"/>
    <row r="903" ht="15.75" customHeight="1" s="42"/>
    <row r="904" ht="15.75" customHeight="1" s="42"/>
    <row r="905" ht="15.75" customHeight="1" s="42"/>
    <row r="906" ht="15.75" customHeight="1" s="42"/>
    <row r="907" ht="15.75" customHeight="1" s="42"/>
    <row r="908" ht="15.75" customHeight="1" s="42"/>
    <row r="909" ht="15.75" customHeight="1" s="42"/>
    <row r="910" ht="15.75" customHeight="1" s="42"/>
    <row r="911" ht="15.75" customHeight="1" s="42"/>
    <row r="912" ht="15.75" customHeight="1" s="42"/>
    <row r="913" ht="15.75" customHeight="1" s="42"/>
    <row r="914" ht="15.75" customHeight="1" s="42"/>
    <row r="915" ht="15.75" customHeight="1" s="42"/>
    <row r="916" ht="15.75" customHeight="1" s="42"/>
    <row r="917" ht="15.75" customHeight="1" s="42"/>
    <row r="918" ht="15.75" customHeight="1" s="42"/>
    <row r="919" ht="15.75" customHeight="1" s="42"/>
    <row r="920" ht="15.75" customHeight="1" s="42"/>
    <row r="921" ht="15.75" customHeight="1" s="42"/>
    <row r="922" ht="15.75" customHeight="1" s="42"/>
    <row r="923" ht="15.75" customHeight="1" s="42"/>
    <row r="924" ht="15.75" customHeight="1" s="42"/>
    <row r="925" ht="15.75" customHeight="1" s="42"/>
    <row r="926" ht="15.75" customHeight="1" s="42"/>
    <row r="927" ht="15.75" customHeight="1" s="42"/>
    <row r="928" ht="15.75" customHeight="1" s="42"/>
    <row r="929" ht="15.75" customHeight="1" s="42"/>
    <row r="930" ht="15.75" customHeight="1" s="42"/>
    <row r="931" ht="15.75" customHeight="1" s="42"/>
    <row r="932" ht="15.75" customHeight="1" s="42"/>
    <row r="933" ht="15.75" customHeight="1" s="42"/>
    <row r="934" ht="15.75" customHeight="1" s="42"/>
    <row r="935" ht="15.75" customHeight="1" s="42"/>
    <row r="936" ht="15.75" customHeight="1" s="42"/>
    <row r="937" ht="15.75" customHeight="1" s="42"/>
    <row r="938" ht="15.75" customHeight="1" s="42"/>
    <row r="939" ht="15.75" customHeight="1" s="42"/>
    <row r="940" ht="15.75" customHeight="1" s="42"/>
    <row r="941" ht="15.75" customHeight="1" s="42"/>
    <row r="942" ht="15.75" customHeight="1" s="42"/>
    <row r="943" ht="15.75" customHeight="1" s="42"/>
    <row r="944" ht="15.75" customHeight="1" s="42"/>
    <row r="945" ht="15.75" customHeight="1" s="42"/>
    <row r="946" ht="15.75" customHeight="1" s="42"/>
    <row r="947" ht="15.75" customHeight="1" s="42"/>
    <row r="948" ht="15.75" customHeight="1" s="42"/>
    <row r="949" ht="15.75" customHeight="1" s="42"/>
    <row r="950" ht="15.75" customHeight="1" s="42"/>
    <row r="951" ht="15.75" customHeight="1" s="42"/>
    <row r="952" ht="15.75" customHeight="1" s="42"/>
    <row r="953" ht="15.75" customHeight="1" s="42"/>
    <row r="954" ht="15.75" customHeight="1" s="42"/>
    <row r="955" ht="15.75" customHeight="1" s="42"/>
    <row r="956" ht="15.75" customHeight="1" s="42"/>
    <row r="957" ht="15.75" customHeight="1" s="42"/>
    <row r="958" ht="15.75" customHeight="1" s="42"/>
    <row r="959" ht="15.75" customHeight="1" s="42"/>
    <row r="960" ht="15.75" customHeight="1" s="42"/>
    <row r="961" ht="15.75" customHeight="1" s="42"/>
    <row r="962" ht="15.75" customHeight="1" s="42"/>
    <row r="963" ht="15.75" customHeight="1" s="42"/>
    <row r="964" ht="15.75" customHeight="1" s="42"/>
    <row r="965" ht="15.75" customHeight="1" s="42"/>
    <row r="966" ht="15.75" customHeight="1" s="42"/>
    <row r="967" ht="15.75" customHeight="1" s="42"/>
    <row r="968" ht="15.75" customHeight="1" s="42"/>
    <row r="969" ht="15.75" customHeight="1" s="42"/>
    <row r="970" ht="15.75" customHeight="1" s="42"/>
    <row r="971" ht="15.75" customHeight="1" s="42"/>
    <row r="972" ht="15.75" customHeight="1" s="42"/>
    <row r="973" ht="15.75" customHeight="1" s="42"/>
    <row r="974" ht="15.75" customHeight="1" s="42"/>
    <row r="975" ht="15.75" customHeight="1" s="42"/>
    <row r="976" ht="15.75" customHeight="1" s="42"/>
    <row r="977" ht="15.75" customHeight="1" s="42"/>
    <row r="978" ht="15.75" customHeight="1" s="42"/>
    <row r="979" ht="15.75" customHeight="1" s="42"/>
    <row r="980" ht="15.75" customHeight="1" s="42"/>
    <row r="981" ht="15.75" customHeight="1" s="42"/>
    <row r="982" ht="15.75" customHeight="1" s="42"/>
    <row r="983" ht="15.75" customHeight="1" s="42"/>
    <row r="984" ht="15.75" customHeight="1" s="42"/>
    <row r="985" ht="15.75" customHeight="1" s="42"/>
    <row r="986" ht="15.75" customHeight="1" s="42"/>
    <row r="987" ht="15.75" customHeight="1" s="42"/>
    <row r="988" ht="15.75" customHeight="1" s="42"/>
    <row r="989" ht="15.75" customHeight="1" s="42"/>
    <row r="990" ht="15.75" customHeight="1" s="42"/>
    <row r="991" ht="15.75" customHeight="1" s="42"/>
    <row r="992" ht="15.75" customHeight="1" s="42"/>
    <row r="993" ht="15.75" customHeight="1" s="42"/>
    <row r="994" ht="15.75" customHeight="1" s="42"/>
    <row r="995" ht="15.75" customHeight="1" s="42"/>
    <row r="996" ht="15.75" customHeight="1" s="42"/>
    <row r="997" ht="15.75" customHeight="1" s="42"/>
    <row r="998" ht="15.75" customHeight="1" s="42"/>
    <row r="999" ht="15.75" customHeight="1" s="42"/>
    <row r="1000" ht="15.75" customHeight="1" s="42"/>
  </sheetData>
  <mergeCells count="1">
    <mergeCell ref="A1:D1"/>
  </mergeCells>
  <pageMargins left="0.75" right="0.75" top="1" bottom="1" header="0" footer="0"/>
  <pageSetup orientation="landscape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2025-10-09T20:32:33Z</dcterms:created>
  <dcterms:modified xmlns:dcterms="http://purl.org/dc/terms/" xmlns:xsi="http://www.w3.org/2001/XMLSchema-instance" xsi:type="dcterms:W3CDTF">2025-10-09T20:32:33Z</dcterms:modified>
</cp:coreProperties>
</file>