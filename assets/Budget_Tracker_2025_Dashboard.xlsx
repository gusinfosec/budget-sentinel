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dget Tracker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-d-yyyy"/>
    <numFmt numFmtId="165" formatCode="yyyy-mm-dd"/>
    <numFmt numFmtId="166" formatCode="$#,##0.00"/>
  </numFmts>
  <fonts count="8">
    <font>
      <name val="Calibri"/>
      <color theme="1"/>
      <sz val="11"/>
      <scheme val="minor"/>
    </font>
    <font>
      <name val="Calibri"/>
      <b val="1"/>
      <color theme="1"/>
    </font>
    <font>
      <name val="Calibri"/>
      <color theme="1"/>
      <scheme val="minor"/>
    </font>
    <font>
      <name val="Calibri"/>
      <color theme="1"/>
      <sz val="11"/>
    </font>
    <font>
      <name val="Calibri"/>
      <color theme="1"/>
    </font>
    <font>
      <name val="Calibri"/>
      <b val="1"/>
      <color rgb="FF1F4E78"/>
      <sz val="16"/>
      <scheme val="minor"/>
    </font>
    <font/>
    <font>
      <name val="Calibri"/>
      <b val="1"/>
      <color rgb="FFFFFFFF"/>
      <scheme val="minor"/>
    </font>
  </fonts>
  <fills count="7">
    <fill>
      <patternFill/>
    </fill>
    <fill>
      <patternFill patternType="lightGray"/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4F81BD"/>
        <bgColor rgb="FF4F81BD"/>
      </patternFill>
    </fill>
  </fills>
  <borders count="2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top style="thin">
        <color rgb="FF284E3F"/>
      </top>
      <bottom style="thin">
        <color rgb="FF284E3F"/>
      </bottom>
    </border>
    <border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284E3F"/>
      </right>
      <top style="double">
        <color rgb="FF284E3F"/>
      </top>
      <bottom style="thin">
        <color rgb="FF284E3F"/>
      </bottom>
    </border>
    <border>
      <top style="thin">
        <color rgb="FF284E3F"/>
      </top>
    </border>
    <border>
      <right style="thin">
        <color rgb="FF356854"/>
      </right>
      <top style="thin">
        <color rgb="FF284E3F"/>
      </top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3" fillId="0" borderId="0" pivotButton="0" quotePrefix="0" xfId="0"/>
    <xf numFmtId="164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164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164" fontId="3" fillId="0" borderId="4" applyAlignment="1" pivotButton="0" quotePrefix="0" xfId="0">
      <alignment horizontal="left" vertical="center"/>
    </xf>
    <xf numFmtId="164" fontId="3" fillId="0" borderId="7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14" fontId="2" fillId="0" borderId="6" applyAlignment="1" pivotButton="0" quotePrefix="0" xfId="0">
      <alignment vertical="center"/>
    </xf>
    <xf numFmtId="0" fontId="3" fillId="0" borderId="7" applyAlignment="1" pivotButton="0" quotePrefix="0" xfId="0">
      <alignment horizontal="left" vertical="center"/>
    </xf>
    <xf numFmtId="14" fontId="2" fillId="0" borderId="9" applyAlignment="1" pivotButton="0" quotePrefix="0" xfId="0">
      <alignment vertical="center"/>
    </xf>
    <xf numFmtId="165" fontId="3" fillId="0" borderId="4" applyAlignment="1" pivotButton="0" quotePrefix="0" xfId="0">
      <alignment horizontal="left" vertical="center"/>
    </xf>
    <xf numFmtId="165" fontId="3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165" fontId="3" fillId="0" borderId="5" applyAlignment="1" pivotButton="0" quotePrefix="0" xfId="0">
      <alignment horizontal="left" vertical="center"/>
    </xf>
    <xf numFmtId="165" fontId="3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vertical="center"/>
    </xf>
    <xf numFmtId="165" fontId="3" fillId="0" borderId="11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14" fontId="2" fillId="0" borderId="12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165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5" fillId="2" borderId="13" applyAlignment="1" pivotButton="0" quotePrefix="0" xfId="0">
      <alignment horizontal="center"/>
    </xf>
    <xf numFmtId="0" fontId="6" fillId="3" borderId="14" pivotButton="0" quotePrefix="0" xfId="0"/>
    <xf numFmtId="0" fontId="6" fillId="0" borderId="14" pivotButton="0" quotePrefix="0" xfId="0"/>
    <xf numFmtId="0" fontId="6" fillId="0" borderId="15" pivotButton="0" quotePrefix="0" xfId="0"/>
    <xf numFmtId="0" fontId="3" fillId="4" borderId="4" applyAlignment="1" pivotButton="0" quotePrefix="0" xfId="0">
      <alignment horizontal="left" vertical="center"/>
    </xf>
    <xf numFmtId="0" fontId="3" fillId="4" borderId="6" applyAlignment="1" pivotButton="0" quotePrefix="0" xfId="0">
      <alignment horizontal="left" vertical="center"/>
    </xf>
    <xf numFmtId="0" fontId="3" fillId="5" borderId="4" applyAlignment="1" pivotButton="0" quotePrefix="0" xfId="0">
      <alignment horizontal="left" vertical="center"/>
    </xf>
    <xf numFmtId="166" fontId="3" fillId="5" borderId="9" applyAlignment="1" pivotButton="0" quotePrefix="0" xfId="0">
      <alignment horizontal="left" vertical="center"/>
    </xf>
    <xf numFmtId="0" fontId="7" fillId="2" borderId="16" applyAlignment="1" pivotButton="0" quotePrefix="0" xfId="0">
      <alignment horizontal="left" vertical="center"/>
    </xf>
    <xf numFmtId="166" fontId="3" fillId="2" borderId="17" applyAlignment="1" pivotButton="0" quotePrefix="0" xfId="0">
      <alignment horizontal="left" vertical="center"/>
    </xf>
    <xf numFmtId="0" fontId="7" fillId="6" borderId="0" pivotButton="0" quotePrefix="0" xfId="0"/>
    <xf numFmtId="166" fontId="3" fillId="0" borderId="0" pivotButton="0" quotePrefix="0" xfId="0"/>
    <xf numFmtId="0" fontId="0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Budget Tracker-style" pivot="0" count="3">
      <tableStyleElement type="headerRow" dxfId="1"/>
      <tableStyleElement type="firstRowStripe" dxfId="2"/>
      <tableStyleElement type="secondRowStripe" dxfId="3"/>
    </tableStyle>
    <tableStyle name="Income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Budget Overview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Dashboard!$A$2:$A$4</f>
            </strRef>
          </cat>
          <val>
            <numRef>
              <f>Dashboard!$B$2:$B$4</f>
              <numCache/>
            </numRef>
          </val>
        </ser>
        <gapWidth val="150"/>
        <axId val="1262961569"/>
        <axId val="539963616"/>
      </barChart>
      <catAx>
        <axId val="126296156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539963616"/>
        <lblOffset val="100"/>
      </catAx>
      <valAx>
        <axId val="53996361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Amount ($)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6296156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Expenses by Priority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'Budget Tracker'!$C$1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7964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4A7D1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38582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ln xmlns:a="http://schemas.openxmlformats.org/drawingml/2006/main">
                <a:prstDash val="solid"/>
              </a:ln>
            </spPr>
          </dPt>
          <dPt>
            <idx val="9"/>
            <spPr>
              <a:ln xmlns:a="http://schemas.openxmlformats.org/drawingml/2006/main">
                <a:prstDash val="solid"/>
              </a:ln>
            </spPr>
          </dPt>
          <dPt>
            <idx val="10"/>
            <spPr>
              <a:ln xmlns:a="http://schemas.openxmlformats.org/drawingml/2006/main">
                <a:prstDash val="solid"/>
              </a:ln>
            </spPr>
          </dPt>
          <dPt>
            <idx val="11"/>
            <spPr>
              <a:ln xmlns:a="http://schemas.openxmlformats.org/drawingml/2006/main">
                <a:prstDash val="solid"/>
              </a:ln>
            </spPr>
          </dPt>
          <dPt>
            <idx val="12"/>
            <spPr>
              <a:ln xmlns:a="http://schemas.openxmlformats.org/drawingml/2006/main">
                <a:prstDash val="solid"/>
              </a:ln>
            </spPr>
          </dPt>
          <dPt>
            <idx val="13"/>
            <spPr>
              <a:ln xmlns:a="http://schemas.openxmlformats.org/drawingml/2006/main">
                <a:prstDash val="solid"/>
              </a:ln>
            </spPr>
          </dPt>
          <dPt>
            <idx val="14"/>
            <spPr>
              <a:ln xmlns:a="http://schemas.openxmlformats.org/drawingml/2006/main">
                <a:prstDash val="solid"/>
              </a:ln>
            </spPr>
          </dPt>
          <dPt>
            <idx val="15"/>
            <spPr>
              <a:ln xmlns:a="http://schemas.openxmlformats.org/drawingml/2006/main">
                <a:prstDash val="solid"/>
              </a:ln>
            </spPr>
          </dPt>
          <dPt>
            <idx val="16"/>
            <spPr>
              <a:ln xmlns:a="http://schemas.openxmlformats.org/drawingml/2006/main">
                <a:prstDash val="solid"/>
              </a:ln>
            </spPr>
          </dPt>
          <dPt>
            <idx val="17"/>
            <spPr>
              <a:ln xmlns:a="http://schemas.openxmlformats.org/drawingml/2006/main">
                <a:prstDash val="solid"/>
              </a:ln>
            </spPr>
          </dPt>
          <dPt>
            <idx val="18"/>
            <spPr>
              <a:ln xmlns:a="http://schemas.openxmlformats.org/drawingml/2006/main">
                <a:prstDash val="solid"/>
              </a:ln>
            </spPr>
          </dPt>
          <dPt>
            <idx val="19"/>
            <spPr>
              <a:ln xmlns:a="http://schemas.openxmlformats.org/drawingml/2006/main">
                <a:prstDash val="solid"/>
              </a:ln>
            </spPr>
          </dPt>
          <dPt>
            <idx val="20"/>
            <spPr>
              <a:ln xmlns:a="http://schemas.openxmlformats.org/drawingml/2006/main">
                <a:prstDash val="solid"/>
              </a:ln>
            </spPr>
          </dPt>
          <dPt>
            <idx val="21"/>
            <spPr>
              <a:ln xmlns:a="http://schemas.openxmlformats.org/drawingml/2006/main">
                <a:prstDash val="solid"/>
              </a:ln>
            </spPr>
          </dPt>
          <dPt>
            <idx val="22"/>
            <spPr>
              <a:ln xmlns:a="http://schemas.openxmlformats.org/drawingml/2006/main">
                <a:prstDash val="solid"/>
              </a:ln>
            </spPr>
          </dPt>
          <dPt>
            <idx val="23"/>
            <spPr>
              <a:ln xmlns:a="http://schemas.openxmlformats.org/drawingml/2006/main">
                <a:prstDash val="solid"/>
              </a:ln>
            </spPr>
          </dPt>
          <dPt>
            <idx val="24"/>
            <spPr>
              <a:ln xmlns:a="http://schemas.openxmlformats.org/drawingml/2006/main">
                <a:prstDash val="solid"/>
              </a:ln>
            </spPr>
          </dPt>
          <dPt>
            <idx val="25"/>
            <spPr>
              <a:ln xmlns:a="http://schemas.openxmlformats.org/drawingml/2006/main">
                <a:prstDash val="solid"/>
              </a:ln>
            </spPr>
          </dPt>
          <dPt>
            <idx val="26"/>
            <spPr>
              <a:ln xmlns:a="http://schemas.openxmlformats.org/drawingml/2006/main">
                <a:prstDash val="solid"/>
              </a:ln>
            </spPr>
          </dPt>
          <dPt>
            <idx val="27"/>
            <spPr>
              <a:ln xmlns:a="http://schemas.openxmlformats.org/drawingml/2006/main">
                <a:prstDash val="solid"/>
              </a:ln>
            </spPr>
          </dPt>
          <dPt>
            <idx val="28"/>
            <spPr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'Budget Tracker'!$D$2:$D$30</f>
            </strRef>
          </cat>
          <val>
            <numRef>
              <f>'Budget Tracker'!$C$2:$C$30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Expenses by Status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'Budget Tracker'!$C$1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'Budget Tracker'!$F$2:$F$30</f>
            </strRef>
          </cat>
          <val>
            <numRef>
              <f>'Budget Tracker'!$C$2:$C$30</f>
              <numCache/>
            </numRef>
          </val>
        </ser>
        <gapWidth val="150"/>
        <axId val="1361975514"/>
        <axId val="217095157"/>
      </barChart>
      <catAx>
        <axId val="136197551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7095157"/>
        <lblOffset val="100"/>
      </catAx>
      <valAx>
        <axId val="21709515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61975514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60070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10</col>
      <colOff>257175</colOff>
      <row>1</row>
      <rowOff>0</rowOff>
    </from>
    <ext cx="3543300" cy="27527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3</col>
      <colOff>0</colOff>
      <row>18</row>
      <rowOff>190500</rowOff>
    </from>
    <ext cx="5600700" cy="32575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1" displayName="Table1" ref="A1:K39" headerRowCount="1">
  <tableColumns count="11">
    <tableColumn id="1" name="Date"/>
    <tableColumn id="2" name="Item"/>
    <tableColumn id="3" name="Amount"/>
    <tableColumn id="4" name="Priority"/>
    <tableColumn id="5" name="Days Until Due"/>
    <tableColumn id="6" name="Status"/>
    <tableColumn id="7" name="Paid?"/>
    <tableColumn id="8" name="Notes"/>
    <tableColumn id="9" name="Due This Week"/>
    <tableColumn id="10" name="Due This Month"/>
    <tableColumn id="11" name="Remaining Days"/>
  </tableColumns>
  <tableStyleInfo name="Budget Tracker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:C5" headerRowCount="1">
  <tableColumns count="3">
    <tableColumn id="1" name="Date"/>
    <tableColumn id="2" name="Source"/>
    <tableColumn id="3" name="Amount"/>
  </tableColumns>
  <tableStyleInfo name="Incom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.86" customWidth="1" style="64" min="1" max="8"/>
    <col width="21" customWidth="1" style="64" min="9" max="9"/>
    <col width="21.86" customWidth="1" style="64" min="10" max="10"/>
  </cols>
  <sheetData>
    <row r="1">
      <c r="A1" s="1" t="inlineStr">
        <is>
          <t>Date</t>
        </is>
      </c>
      <c r="B1" s="2" t="inlineStr">
        <is>
          <t>Item</t>
        </is>
      </c>
      <c r="C1" s="2" t="inlineStr">
        <is>
          <t>Amount</t>
        </is>
      </c>
      <c r="D1" s="2" t="inlineStr">
        <is>
          <t>Priority</t>
        </is>
      </c>
      <c r="E1" s="2" t="inlineStr">
        <is>
          <t>Days Until Due</t>
        </is>
      </c>
      <c r="F1" s="2" t="inlineStr">
        <is>
          <t>Status</t>
        </is>
      </c>
      <c r="G1" s="2" t="inlineStr">
        <is>
          <t>Paid?</t>
        </is>
      </c>
      <c r="H1" s="2" t="inlineStr">
        <is>
          <t>Notes</t>
        </is>
      </c>
      <c r="I1" s="3" t="inlineStr">
        <is>
          <t>Due This Week</t>
        </is>
      </c>
      <c r="J1" s="3" t="inlineStr">
        <is>
          <t>Due This Month</t>
        </is>
      </c>
      <c r="K1" s="4" t="inlineStr">
        <is>
          <t>Remaining Days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16" t="n">
        <v>45922</v>
      </c>
      <c r="B2" s="7" t="inlineStr">
        <is>
          <t>Affirm</t>
        </is>
      </c>
      <c r="C2" s="7" t="n">
        <v>96.19</v>
      </c>
      <c r="D2" s="7" t="inlineStr">
        <is>
          <t>High</t>
        </is>
      </c>
      <c r="E2" s="7" t="n">
        <v>0</v>
      </c>
      <c r="F2" s="7" t="inlineStr">
        <is>
          <t>Upcoming</t>
        </is>
      </c>
      <c r="G2" s="7" t="inlineStr">
        <is>
          <t>no</t>
        </is>
      </c>
      <c r="H2" s="7" t="n"/>
      <c r="I2" s="29">
        <f>IF(AND(A2&gt;=TODAY(), A2&lt;=TODAY()+7), "Yes", "")</f>
        <v/>
      </c>
      <c r="J2" s="9">
        <f>IF(AND(MONTH(A2)=MONTH(TODAY()), YEAR(A2)=YEAR(TODAY())), "Yes", "")</f>
        <v/>
      </c>
      <c r="K2" s="10">
        <f>A2-TODAY()</f>
        <v/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17" t="n">
        <v>45925</v>
      </c>
      <c r="B3" s="12" t="inlineStr">
        <is>
          <t>Affirm</t>
        </is>
      </c>
      <c r="C3" s="12" t="n">
        <v>181.75</v>
      </c>
      <c r="D3" s="12" t="inlineStr">
        <is>
          <t>High</t>
        </is>
      </c>
      <c r="E3" s="12" t="n">
        <v>3</v>
      </c>
      <c r="F3" s="12" t="inlineStr">
        <is>
          <t>Upcoming</t>
        </is>
      </c>
      <c r="G3" s="12" t="inlineStr">
        <is>
          <t>no</t>
        </is>
      </c>
      <c r="H3" s="12" t="n"/>
      <c r="I3" s="31">
        <f>IF(AND(A3&gt;=TODAY(), A3&lt;=TODAY()+7), "Yes", "")</f>
        <v/>
      </c>
      <c r="J3" s="14">
        <f>IF(AND(MONTH(A3)=MONTH(TODAY()), YEAR(A3)=YEAR(TODAY())), "Yes", "")</f>
        <v/>
      </c>
      <c r="K3" s="15">
        <f>A3-TODAY()</f>
        <v/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idden="1" s="64">
      <c r="A4" s="16" t="inlineStr">
        <is>
          <t>2025-09-26</t>
        </is>
      </c>
      <c r="B4" s="7" t="inlineStr">
        <is>
          <t>Car Payment</t>
        </is>
      </c>
      <c r="C4" s="7" t="n">
        <v>547.9</v>
      </c>
      <c r="D4" s="7" t="inlineStr">
        <is>
          <t>High</t>
        </is>
      </c>
      <c r="E4" s="7" t="n">
        <v>4</v>
      </c>
      <c r="F4" s="7" t="inlineStr">
        <is>
          <t>Upcoming</t>
        </is>
      </c>
      <c r="G4" s="7" t="inlineStr">
        <is>
          <t>yes</t>
        </is>
      </c>
      <c r="H4" s="7" t="n"/>
      <c r="I4" s="29">
        <f>IF(AND(A4&gt;=TODAY(), A4&lt;=TODAY()+7), "Yes", "")</f>
        <v/>
      </c>
      <c r="J4" s="9">
        <f>IF(AND(MONTH(A4)=MONTH(TODAY()), YEAR(A4)=YEAR(TODAY())), "Yes", "")</f>
        <v/>
      </c>
      <c r="K4" s="10">
        <f>A4-TODAY()</f>
        <v/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idden="1" s="64">
      <c r="A5" s="17" t="inlineStr">
        <is>
          <t>2025-09-26</t>
        </is>
      </c>
      <c r="B5" s="12" t="inlineStr">
        <is>
          <t>Rent Plan (Back)</t>
        </is>
      </c>
      <c r="C5" s="12" t="n">
        <v>142</v>
      </c>
      <c r="D5" s="12" t="inlineStr">
        <is>
          <t>High</t>
        </is>
      </c>
      <c r="E5" s="12" t="n">
        <v>4</v>
      </c>
      <c r="F5" s="12" t="inlineStr">
        <is>
          <t>Upcoming</t>
        </is>
      </c>
      <c r="G5" s="12" t="inlineStr">
        <is>
          <t>yes</t>
        </is>
      </c>
      <c r="H5" s="12" t="n"/>
      <c r="I5" s="31">
        <f>IF(AND(A5&gt;=TODAY(), A5&lt;=TODAY()+7), "Yes", "")</f>
        <v/>
      </c>
      <c r="J5" s="14">
        <f>IF(AND(MONTH(A5)=MONTH(TODAY()), YEAR(A5)=YEAR(TODAY())), "Yes", "")</f>
        <v/>
      </c>
      <c r="K5" s="15">
        <f>A5-TODAY()</f>
        <v/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6" t="n">
        <v>45903</v>
      </c>
      <c r="B6" s="7" t="inlineStr">
        <is>
          <t>Flight Ticket</t>
        </is>
      </c>
      <c r="C6" s="7" t="n">
        <v>1200</v>
      </c>
      <c r="D6" s="7" t="inlineStr">
        <is>
          <t>High</t>
        </is>
      </c>
      <c r="E6" s="7" t="n">
        <v>8</v>
      </c>
      <c r="F6" s="7" t="inlineStr">
        <is>
          <t>Upcoming</t>
        </is>
      </c>
      <c r="G6" s="7" t="inlineStr">
        <is>
          <t>no</t>
        </is>
      </c>
      <c r="H6" s="7" t="inlineStr">
        <is>
          <t xml:space="preserve"> </t>
        </is>
      </c>
      <c r="I6" s="29" t="inlineStr">
        <is>
          <t>yes</t>
        </is>
      </c>
      <c r="J6" s="9">
        <f>IF(AND(MONTH(A6)=MONTH(TODAY()), YEAR(A6)=YEAR(TODAY())), "Yes", "")</f>
        <v/>
      </c>
      <c r="K6" s="10">
        <f>A6-TODAY()</f>
        <v/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7" t="n">
        <v>45930</v>
      </c>
      <c r="B7" s="12" t="inlineStr">
        <is>
          <t>Affirm</t>
        </is>
      </c>
      <c r="C7" s="12" t="n">
        <v>86.09</v>
      </c>
      <c r="D7" s="12" t="inlineStr">
        <is>
          <t>High</t>
        </is>
      </c>
      <c r="E7" s="12" t="n">
        <v>8</v>
      </c>
      <c r="F7" s="12" t="inlineStr">
        <is>
          <t>Upcoming</t>
        </is>
      </c>
      <c r="G7" s="12" t="inlineStr">
        <is>
          <t>no</t>
        </is>
      </c>
      <c r="H7" s="12" t="n"/>
      <c r="I7" s="31">
        <f>IF(AND(A7&gt;=TODAY(), A7&lt;=TODAY()+7), "Yes", "")</f>
        <v/>
      </c>
      <c r="J7" s="14">
        <f>IF(AND(MONTH(A7)=MONTH(TODAY()), YEAR(A7)=YEAR(TODAY())), "Yes", "")</f>
        <v/>
      </c>
      <c r="K7" s="15">
        <f>A7-TODAY()</f>
        <v/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idden="1" s="64">
      <c r="A8" s="19" t="inlineStr">
        <is>
          <t>2025-10-01</t>
        </is>
      </c>
      <c r="B8" s="7" t="inlineStr">
        <is>
          <t>October Rent</t>
        </is>
      </c>
      <c r="C8" s="7" t="n">
        <v>2052.09</v>
      </c>
      <c r="D8" s="7" t="inlineStr">
        <is>
          <t>Critical</t>
        </is>
      </c>
      <c r="E8" s="7" t="n">
        <v>9</v>
      </c>
      <c r="F8" s="7" t="inlineStr">
        <is>
          <t>Upcoming</t>
        </is>
      </c>
      <c r="G8" s="7" t="inlineStr">
        <is>
          <t>yes</t>
        </is>
      </c>
      <c r="H8" s="20" t="n">
        <v>609</v>
      </c>
      <c r="I8" s="29">
        <f>IF(AND(A8&gt;=TODAY(), A8&lt;=TODAY()+7), "Yes", "")</f>
        <v/>
      </c>
      <c r="J8" s="9">
        <f>IF(AND(MONTH(A8)=MONTH(TODAY()), YEAR(A8)=YEAR(TODAY())), "Yes", "")</f>
        <v/>
      </c>
      <c r="K8" s="21">
        <f>A8-TODAY()</f>
        <v/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idden="1" s="64">
      <c r="A9" s="22" t="inlineStr">
        <is>
          <t>2025-10-10</t>
        </is>
      </c>
      <c r="B9" s="12" t="inlineStr">
        <is>
          <t>Capital One</t>
        </is>
      </c>
      <c r="C9" s="12" t="n">
        <v>200</v>
      </c>
      <c r="D9" s="12" t="inlineStr">
        <is>
          <t>High</t>
        </is>
      </c>
      <c r="E9" s="12" t="n">
        <v>18</v>
      </c>
      <c r="F9" s="12" t="inlineStr">
        <is>
          <t>Upcoming</t>
        </is>
      </c>
      <c r="G9" s="12" t="inlineStr">
        <is>
          <t>yes</t>
        </is>
      </c>
      <c r="H9" s="12" t="n"/>
      <c r="I9" s="31">
        <f>IF(AND(A9&gt;=TODAY(), A9&lt;=TODAY()+7), "Yes", "")</f>
        <v/>
      </c>
      <c r="J9" s="14">
        <f>IF(AND(MONTH(A9)=MONTH(TODAY()), YEAR(A9)=YEAR(TODAY())), "Yes", "")</f>
        <v/>
      </c>
      <c r="K9" s="23">
        <f>A9-TODAY()</f>
        <v/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idden="1" s="64">
      <c r="A10" s="24" t="n">
        <v>45940</v>
      </c>
      <c r="B10" s="7" t="inlineStr">
        <is>
          <t>FPL</t>
        </is>
      </c>
      <c r="C10" s="7" t="n">
        <v>50.12</v>
      </c>
      <c r="D10" s="7" t="inlineStr">
        <is>
          <t>High</t>
        </is>
      </c>
      <c r="E10" s="7" t="n">
        <v>16</v>
      </c>
      <c r="F10" s="20" t="inlineStr">
        <is>
          <t>Upcoming</t>
        </is>
      </c>
      <c r="G10" s="20" t="inlineStr">
        <is>
          <t>yes</t>
        </is>
      </c>
      <c r="H10" s="20">
        <f>403.91-C10</f>
        <v/>
      </c>
      <c r="I10" s="29">
        <f>IF(AND(A10&gt;=TODAY(), A10&lt;=TODAY()+7), "Yes", "")</f>
        <v/>
      </c>
      <c r="J10" s="9">
        <f>IF(AND(MONTH(A10)=MONTH(TODAY()), YEAR(A10)=YEAR(TODAY())), "Yes", "")</f>
        <v/>
      </c>
      <c r="K10" s="10">
        <f>A10-TODAY()</f>
        <v/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idden="1" s="64">
      <c r="A11" s="25" t="n">
        <v>45935</v>
      </c>
      <c r="B11" s="12" t="inlineStr">
        <is>
          <t>Mazda</t>
        </is>
      </c>
      <c r="C11" s="12" t="n">
        <v>308</v>
      </c>
      <c r="D11" s="12" t="inlineStr">
        <is>
          <t>High</t>
        </is>
      </c>
      <c r="E11" s="12" t="n">
        <v>28</v>
      </c>
      <c r="F11" s="26" t="inlineStr">
        <is>
          <t>Upcoming</t>
        </is>
      </c>
      <c r="G11" s="26" t="inlineStr">
        <is>
          <t>yes</t>
        </is>
      </c>
      <c r="H11" s="26" t="inlineStr">
        <is>
          <t>scheduled</t>
        </is>
      </c>
      <c r="I11" s="31">
        <f>IF(AND(A11&gt;=TODAY(), A11&lt;=TODAY()+7), "Yes", "")</f>
        <v/>
      </c>
      <c r="J11" s="14">
        <f>IF(AND(MONTH(A11)=MONTH(TODAY()), YEAR(A11)=YEAR(TODAY())), "Yes", "")</f>
        <v/>
      </c>
      <c r="K11" s="15">
        <f>A11-TODAY()</f>
        <v/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idden="1" s="64">
      <c r="A12" s="24" t="n">
        <v>45930</v>
      </c>
      <c r="B12" s="7" t="inlineStr">
        <is>
          <t>Mariner</t>
        </is>
      </c>
      <c r="C12" s="7" t="n">
        <v>359</v>
      </c>
      <c r="D12" s="7" t="inlineStr">
        <is>
          <t>High</t>
        </is>
      </c>
      <c r="E12" s="7" t="n">
        <v>28</v>
      </c>
      <c r="F12" s="20" t="inlineStr">
        <is>
          <t>Upcoming</t>
        </is>
      </c>
      <c r="G12" s="20" t="inlineStr">
        <is>
          <t>yes</t>
        </is>
      </c>
      <c r="H12" s="20" t="n"/>
      <c r="I12" s="29">
        <f>IF(AND(A12&gt;=TODAY(), A12&lt;=TODAY()+7), "Yes", "")</f>
        <v/>
      </c>
      <c r="J12" s="9">
        <f>IF(AND(MONTH(A12)=MONTH(TODAY()), YEAR(A12)=YEAR(TODAY())), "Yes", "")</f>
        <v/>
      </c>
      <c r="K12" s="10">
        <f>A12-TODAY()</f>
        <v/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idden="1" s="64">
      <c r="A13" s="25" t="n">
        <v>45935</v>
      </c>
      <c r="B13" s="12" t="inlineStr">
        <is>
          <t>JVT</t>
        </is>
      </c>
      <c r="C13" s="12" t="n">
        <v>312</v>
      </c>
      <c r="D13" s="12" t="inlineStr">
        <is>
          <t>High</t>
        </is>
      </c>
      <c r="E13" s="12" t="n">
        <v>0</v>
      </c>
      <c r="F13" s="26" t="inlineStr">
        <is>
          <t>Upcoming</t>
        </is>
      </c>
      <c r="G13" s="26" t="inlineStr">
        <is>
          <t>yes</t>
        </is>
      </c>
      <c r="H13" s="26" t="n"/>
      <c r="I13" s="31">
        <f>IF(AND(A13&gt;=TODAY(), A13&lt;=TODAY()+7), "Yes", "")</f>
        <v/>
      </c>
      <c r="J13" s="14">
        <f>IF(AND(MONTH(A13)=MONTH(TODAY()), YEAR(A13)=YEAR(TODAY())), "Yes", "")</f>
        <v/>
      </c>
      <c r="K13" s="15">
        <f>A13-TODAY()</f>
        <v/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6" t="n">
        <v>45926</v>
      </c>
      <c r="B14" s="7" t="inlineStr">
        <is>
          <t>Miscellaneous</t>
        </is>
      </c>
      <c r="C14" s="7" t="n">
        <v>89</v>
      </c>
      <c r="D14" s="7" t="inlineStr">
        <is>
          <t>Low</t>
        </is>
      </c>
      <c r="E14" s="7" t="n">
        <v>0</v>
      </c>
      <c r="F14" s="20" t="inlineStr">
        <is>
          <t>Upcoming</t>
        </is>
      </c>
      <c r="G14" s="20" t="inlineStr">
        <is>
          <t>no</t>
        </is>
      </c>
      <c r="H14" s="20" t="inlineStr">
        <is>
          <t>done</t>
        </is>
      </c>
      <c r="I14" s="29">
        <f>IF(AND(A14&gt;=TODAY(), A14&lt;=TODAY()+7), "Yes", "")</f>
        <v/>
      </c>
      <c r="J14" s="9">
        <f>IF(AND(MONTH(A14)=MONTH(TODAY()), YEAR(A14)=YEAR(TODAY())), "Yes", "")</f>
        <v/>
      </c>
      <c r="K14" s="10">
        <f>A14-TODAY()</f>
        <v/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idden="1" s="64">
      <c r="A15" s="25" t="n">
        <v>45930</v>
      </c>
      <c r="B15" s="12" t="inlineStr">
        <is>
          <t>Progressive</t>
        </is>
      </c>
      <c r="C15" s="12" t="n">
        <v>179.66</v>
      </c>
      <c r="D15" s="12" t="inlineStr">
        <is>
          <t>Medium</t>
        </is>
      </c>
      <c r="E15" s="12" t="n">
        <v>4</v>
      </c>
      <c r="F15" s="26" t="inlineStr">
        <is>
          <t>Upcoming</t>
        </is>
      </c>
      <c r="G15" s="26" t="inlineStr">
        <is>
          <t>yes</t>
        </is>
      </c>
      <c r="H15" s="26" t="n"/>
      <c r="I15" s="31">
        <f>IF(AND(A15&gt;=TODAY(), A15&lt;=TODAY()+7), "Yes", "")</f>
        <v/>
      </c>
      <c r="J15" s="14">
        <f>IF(AND(MONTH(A15)=MONTH(TODAY()), YEAR(A15)=YEAR(TODAY())), "Yes", "")</f>
        <v/>
      </c>
      <c r="K15" s="15">
        <f>A15-TODAY()</f>
        <v/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idden="1" s="64">
      <c r="A16" s="24" t="n">
        <v>45930</v>
      </c>
      <c r="B16" s="7" t="inlineStr">
        <is>
          <t>Alliance</t>
        </is>
      </c>
      <c r="C16" s="7" t="n">
        <v>151</v>
      </c>
      <c r="D16" s="7" t="inlineStr">
        <is>
          <t>Medium</t>
        </is>
      </c>
      <c r="E16" s="7" t="n">
        <v>4</v>
      </c>
      <c r="F16" s="20" t="inlineStr">
        <is>
          <t>Upcoming</t>
        </is>
      </c>
      <c r="G16" s="20" t="inlineStr">
        <is>
          <t>yes</t>
        </is>
      </c>
      <c r="H16" s="20" t="n"/>
      <c r="I16" s="29">
        <f>IF(AND(A16&gt;=TODAY(), A16&lt;=TODAY()+7), "Yes", "")</f>
        <v/>
      </c>
      <c r="J16" s="9">
        <f>IF(AND(MONTH(A16)=MONTH(TODAY()), YEAR(A16)=YEAR(TODAY())), "Yes", "")</f>
        <v/>
      </c>
      <c r="K16" s="10">
        <f>A16-TODAY()</f>
        <v/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idden="1" s="64">
      <c r="A17" s="25" t="n">
        <v>45930</v>
      </c>
      <c r="B17" s="12" t="inlineStr">
        <is>
          <t>Sloan</t>
        </is>
      </c>
      <c r="C17" s="12" t="n">
        <v>150.75</v>
      </c>
      <c r="D17" s="12" t="inlineStr">
        <is>
          <t>High</t>
        </is>
      </c>
      <c r="E17" s="12" t="n">
        <v>35</v>
      </c>
      <c r="F17" s="26" t="inlineStr">
        <is>
          <t>Upcoming</t>
        </is>
      </c>
      <c r="G17" s="26" t="inlineStr">
        <is>
          <t>yes</t>
        </is>
      </c>
      <c r="H17" s="26" t="inlineStr">
        <is>
          <t>scheduled</t>
        </is>
      </c>
      <c r="I17" s="31">
        <f>IF(AND(A17&gt;=TODAY(), A17&lt;=TODAY()+7), "Yes", "")</f>
        <v/>
      </c>
      <c r="J17" s="14">
        <f>IF(AND(MONTH(A17)=MONTH(TODAY()), YEAR(A17)=YEAR(TODAY())), "Yes", "")</f>
        <v/>
      </c>
      <c r="K17" s="15">
        <f>A17-TODAY()</f>
        <v/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idden="1" s="64">
      <c r="A18" s="24" t="n">
        <v>45926</v>
      </c>
      <c r="B18" s="7" t="inlineStr">
        <is>
          <t>Fortina</t>
        </is>
      </c>
      <c r="C18" s="7" t="n">
        <v>40</v>
      </c>
      <c r="D18" s="7" t="inlineStr">
        <is>
          <t>Low</t>
        </is>
      </c>
      <c r="E18" s="7" t="n">
        <v>0</v>
      </c>
      <c r="F18" s="20" t="inlineStr">
        <is>
          <t>Due now</t>
        </is>
      </c>
      <c r="G18" s="20" t="inlineStr">
        <is>
          <t>yes</t>
        </is>
      </c>
      <c r="H18" s="20" t="n"/>
      <c r="I18" s="29">
        <f>IF(AND(A18&gt;=TODAY(), A18&lt;=TODAY()+7), "Yes", "")</f>
        <v/>
      </c>
      <c r="J18" s="9">
        <f>IF(AND(MONTH(A18)=MONTH(TODAY()), YEAR(A18)=YEAR(TODAY())), "Yes", "")</f>
        <v/>
      </c>
      <c r="K18" s="10">
        <f>A18-TODAY()</f>
        <v/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idden="1" s="64">
      <c r="A19" s="25" t="n">
        <v>45940</v>
      </c>
      <c r="B19" s="12" t="inlineStr">
        <is>
          <t>Mariner</t>
        </is>
      </c>
      <c r="C19" s="12" t="n">
        <v>359</v>
      </c>
      <c r="D19" s="12" t="inlineStr">
        <is>
          <t>High</t>
        </is>
      </c>
      <c r="E19" s="12" t="n">
        <v>30</v>
      </c>
      <c r="F19" s="26" t="inlineStr">
        <is>
          <t>upcoming</t>
        </is>
      </c>
      <c r="G19" s="26" t="inlineStr">
        <is>
          <t>yes</t>
        </is>
      </c>
      <c r="H19" s="26" t="inlineStr">
        <is>
          <t>scheduled</t>
        </is>
      </c>
      <c r="I19" s="31">
        <f>IF(AND(A19&gt;=TODAY(), A19&lt;=TODAY()+7), "Yes", "")</f>
        <v/>
      </c>
      <c r="J19" s="14">
        <f>IF(AND(MONTH(A19)=MONTH(TODAY()), YEAR(A19)=YEAR(TODAY())), "Yes", "")</f>
        <v/>
      </c>
      <c r="K19" s="15">
        <f>A19-TODAY()</f>
        <v/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idden="1" s="64">
      <c r="A20" s="19" t="inlineStr">
        <is>
          <t>101-0-2025</t>
        </is>
      </c>
      <c r="B20" s="7" t="inlineStr">
        <is>
          <t>Adjustment</t>
        </is>
      </c>
      <c r="C20" s="7" t="n">
        <v>652</v>
      </c>
      <c r="D20" s="7" t="n"/>
      <c r="E20" s="7" t="n"/>
      <c r="F20" s="20" t="n"/>
      <c r="G20" s="20" t="inlineStr">
        <is>
          <t>yes</t>
        </is>
      </c>
      <c r="H20" s="20" t="n"/>
      <c r="I20" s="29">
        <f>IF(AND(A20&gt;=TODAY(), A20&lt;=TODAY()+7), "Yes", "")</f>
        <v/>
      </c>
      <c r="J20" s="9">
        <f>IF(AND(MONTH(A20)=MONTH(TODAY()), YEAR(A20)=YEAR(TODAY())), "Yes", "")</f>
        <v/>
      </c>
      <c r="K20" s="10">
        <f>A20-TODAY()</f>
        <v/>
      </c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idden="1" ht="15.75" customHeight="1" s="64">
      <c r="A21" s="22" t="inlineStr">
        <is>
          <t>Progressive</t>
        </is>
      </c>
      <c r="B21" s="12" t="n"/>
      <c r="C21" s="12" t="n">
        <v>179</v>
      </c>
      <c r="D21" s="12" t="n"/>
      <c r="E21" s="12" t="n"/>
      <c r="F21" s="26" t="n"/>
      <c r="G21" s="26" t="inlineStr">
        <is>
          <t>yes</t>
        </is>
      </c>
      <c r="H21" s="26" t="n"/>
      <c r="I21" s="31">
        <f>IF(AND(A21&gt;=TODAY(), A21&lt;=TODAY()+7), "Yes", "")</f>
        <v/>
      </c>
      <c r="J21" s="14">
        <f>IF(AND(MONTH(A21)=MONTH(TODAY()), YEAR(A21)=YEAR(TODAY())), "Yes", "")</f>
        <v/>
      </c>
      <c r="K21" s="15">
        <f>A21-TODAY()</f>
        <v/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idden="1" ht="15.75" customHeight="1" s="64">
      <c r="A22" s="19" t="inlineStr">
        <is>
          <t>Alliance</t>
        </is>
      </c>
      <c r="B22" s="7" t="n"/>
      <c r="C22" s="7">
        <f>155+25</f>
        <v/>
      </c>
      <c r="D22" s="7" t="n"/>
      <c r="E22" s="7" t="n"/>
      <c r="F22" s="20" t="n"/>
      <c r="G22" s="20" t="inlineStr">
        <is>
          <t>yes</t>
        </is>
      </c>
      <c r="H22" s="20" t="n"/>
      <c r="I22" s="29">
        <f>IF(AND(A22&gt;=TODAY(), A22&lt;=TODAY()+7), "Yes", "")</f>
        <v/>
      </c>
      <c r="J22" s="9">
        <f>IF(AND(MONTH(A22)=MONTH(TODAY()), YEAR(A22)=YEAR(TODAY())), "Yes", "")</f>
        <v/>
      </c>
      <c r="K22" s="10">
        <f>A22-TODAY()</f>
        <v/>
      </c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64">
      <c r="A23" s="17" t="n">
        <v>45955</v>
      </c>
      <c r="B23" s="12" t="inlineStr">
        <is>
          <t>car</t>
        </is>
      </c>
      <c r="C23" s="12" t="n">
        <v>547.9</v>
      </c>
      <c r="D23" s="12" t="inlineStr">
        <is>
          <t>Low</t>
        </is>
      </c>
      <c r="E23" s="12" t="n">
        <v>12</v>
      </c>
      <c r="F23" s="26" t="inlineStr">
        <is>
          <t>Upcoming</t>
        </is>
      </c>
      <c r="G23" s="26" t="inlineStr">
        <is>
          <t>no</t>
        </is>
      </c>
      <c r="H23" s="26" t="n"/>
      <c r="I23" s="31" t="inlineStr">
        <is>
          <t>no</t>
        </is>
      </c>
      <c r="J23" s="14">
        <f>IF(AND(MONTH(A23)=MONTH(TODAY()), YEAR(A23)=YEAR(TODAY())), "Yes", "")</f>
        <v/>
      </c>
      <c r="K23" s="15">
        <f>A23-TODAY()</f>
        <v/>
      </c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64">
      <c r="A24" s="16" t="n">
        <v>45954</v>
      </c>
      <c r="B24" s="7" t="inlineStr">
        <is>
          <t>Rent</t>
        </is>
      </c>
      <c r="C24" s="7" t="n">
        <v>603</v>
      </c>
      <c r="D24" s="7" t="inlineStr">
        <is>
          <t>Low</t>
        </is>
      </c>
      <c r="E24" s="7" t="n">
        <v>0</v>
      </c>
      <c r="F24" s="20" t="inlineStr">
        <is>
          <t>Upcoming</t>
        </is>
      </c>
      <c r="G24" s="20" t="inlineStr">
        <is>
          <t>no</t>
        </is>
      </c>
      <c r="H24" s="20" t="n"/>
      <c r="I24" s="29">
        <f>IF(AND(A24&gt;=TODAY(), A24&lt;=TODAY()+7), "Yes", "")</f>
        <v/>
      </c>
      <c r="J24" s="9">
        <f>IF(AND(MONTH(A24)=MONTH(TODAY()), YEAR(A24)=YEAR(TODAY())), "Yes", "")</f>
        <v/>
      </c>
      <c r="K24" s="10">
        <f>A24-TODAY()</f>
        <v/>
      </c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64">
      <c r="A25" s="17" t="n">
        <v>45947</v>
      </c>
      <c r="B25" s="12" t="inlineStr">
        <is>
          <t>Newera</t>
        </is>
      </c>
      <c r="C25" s="12" t="n">
        <v>303</v>
      </c>
      <c r="D25" s="12" t="inlineStr">
        <is>
          <t>Low</t>
        </is>
      </c>
      <c r="E25" s="12" t="n">
        <v>0</v>
      </c>
      <c r="F25" s="26" t="inlineStr">
        <is>
          <t>Upcoming</t>
        </is>
      </c>
      <c r="G25" s="26" t="inlineStr">
        <is>
          <t>no</t>
        </is>
      </c>
      <c r="H25" s="26" t="n"/>
      <c r="I25" s="31">
        <f>IF(AND(A25&gt;=TODAY(), A25&lt;=TODAY()+7), "Yes", "")</f>
        <v/>
      </c>
      <c r="J25" s="14">
        <f>IF(AND(MONTH(A25)=MONTH(TODAY()), YEAR(A25)=YEAR(TODAY())), "Yes", "")</f>
        <v/>
      </c>
      <c r="K25" s="15">
        <f>A25-TODAY()</f>
        <v/>
      </c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64">
      <c r="A26" s="28" t="n"/>
      <c r="B26" s="29" t="n"/>
      <c r="C26" s="29" t="n"/>
      <c r="D26" s="29" t="n"/>
      <c r="E26" s="29" t="n"/>
      <c r="F26" s="29" t="n"/>
      <c r="G26" s="29" t="n"/>
      <c r="H26" s="29">
        <f>IF(AND(MONTH(A26)=MONTH(TODAY()), YEAR(A26)=YEAR(TODAY())), "Yes", "")</f>
        <v/>
      </c>
      <c r="I26" s="29">
        <f>IF(AND(A26&gt;=TODAY(), A26&lt;=TODAY()+7), "Yes", "")</f>
        <v/>
      </c>
      <c r="J26" s="9">
        <f>IF(AND(MONTH(A26)=MONTH(TODAY()), YEAR(A26)=YEAR(TODAY())), "Yes", "")</f>
        <v/>
      </c>
      <c r="K26" s="21">
        <f>A26-TODAY()</f>
        <v/>
      </c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64">
      <c r="A27" s="30" t="n"/>
      <c r="B27" s="12" t="n"/>
      <c r="C27" s="31" t="n"/>
      <c r="D27" s="31" t="n"/>
      <c r="E27" s="31" t="n"/>
      <c r="F27" s="31" t="n"/>
      <c r="G27" s="31" t="n"/>
      <c r="H27" s="31">
        <f>IF(AND(MONTH(A27)=MONTH(TODAY()), YEAR(A27)=YEAR(TODAY())), "Yes", "")</f>
        <v/>
      </c>
      <c r="I27" s="31">
        <f>IF(AND(A27&gt;=TODAY(), A27&lt;=TODAY()+7), "Yes", "")</f>
        <v/>
      </c>
      <c r="J27" s="14">
        <f>IF(AND(MONTH(A27)=MONTH(TODAY()), YEAR(A27)=YEAR(TODAY())), "Yes", "")</f>
        <v/>
      </c>
      <c r="K27" s="23">
        <f>A27-TODAY()</f>
        <v/>
      </c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64">
      <c r="A28" s="28" t="n"/>
      <c r="B28" s="7" t="n"/>
      <c r="C28" s="29" t="n"/>
      <c r="D28" s="29" t="n"/>
      <c r="E28" s="29" t="n"/>
      <c r="F28" s="29" t="n"/>
      <c r="G28" s="29" t="n"/>
      <c r="H28" s="29">
        <f>IF(AND(MONTH(A28)=MONTH(TODAY()), YEAR(A28)=YEAR(TODAY())), "Yes", "")</f>
        <v/>
      </c>
      <c r="I28" s="29">
        <f>IF(AND(A28&gt;=TODAY(), A28&lt;=TODAY()+7), "Yes", "")</f>
        <v/>
      </c>
      <c r="J28" s="9">
        <f>IF(AND(MONTH(A28)=MONTH(TODAY()), YEAR(A28)=YEAR(TODAY())), "Yes", "")</f>
        <v/>
      </c>
      <c r="K28" s="21">
        <f>A28-TODAY()</f>
        <v/>
      </c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64">
      <c r="A29" s="30" t="n"/>
      <c r="B29" s="12" t="n"/>
      <c r="C29" s="31" t="n"/>
      <c r="D29" s="31" t="n"/>
      <c r="E29" s="31" t="n"/>
      <c r="F29" s="31" t="n"/>
      <c r="G29" s="31" t="n"/>
      <c r="H29" s="31">
        <f>IF(AND(MONTH(A29)=MONTH(TODAY()), YEAR(A29)=YEAR(TODAY())), "Yes", "")</f>
        <v/>
      </c>
      <c r="I29" s="31">
        <f>IF(AND(A29&gt;=TODAY(), A29&lt;=TODAY()+7), "Yes", "")</f>
        <v/>
      </c>
      <c r="J29" s="14">
        <f>IF(AND(MONTH(A29)=MONTH(TODAY()), YEAR(A29)=YEAR(TODAY())), "Yes", "")</f>
        <v/>
      </c>
      <c r="K29" s="23">
        <f>A29-TODAY()</f>
        <v/>
      </c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64">
      <c r="A30" s="28" t="n"/>
      <c r="B30" s="7" t="n"/>
      <c r="C30" s="29" t="inlineStr">
        <is>
          <t xml:space="preserve"> </t>
        </is>
      </c>
      <c r="D30" s="29" t="n"/>
      <c r="E30" s="29" t="n"/>
      <c r="F30" s="29" t="n"/>
      <c r="G30" s="29" t="n"/>
      <c r="H30" s="29">
        <f>IF(AND(MONTH(A30)=MONTH(TODAY()), YEAR(A30)=YEAR(TODAY())), "Yes", "")</f>
        <v/>
      </c>
      <c r="I30" s="29">
        <f>IF(AND(A30&gt;=TODAY(), A30&lt;=TODAY()+7), "Yes", "")</f>
        <v/>
      </c>
      <c r="J30" s="9">
        <f>IF(AND(MONTH(A30)=MONTH(TODAY()), YEAR(A30)=YEAR(TODAY())), "Yes", "")</f>
        <v/>
      </c>
      <c r="K30" s="21">
        <f>A30-TODAY()</f>
        <v/>
      </c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64">
      <c r="A31" s="30" t="n"/>
      <c r="B31" s="12" t="n"/>
      <c r="C31" s="31" t="n"/>
      <c r="D31" s="31" t="n"/>
      <c r="E31" s="31" t="n"/>
      <c r="F31" s="31" t="n"/>
      <c r="G31" s="31" t="n"/>
      <c r="H31" s="31">
        <f>IF(AND(MONTH(A31)=MONTH(TODAY()), YEAR(A31)=YEAR(TODAY())), "Yes", "")</f>
        <v/>
      </c>
      <c r="I31" s="31">
        <f>IF(AND(A31&gt;=TODAY(), A31&lt;=TODAY()+7), "Yes", "")</f>
        <v/>
      </c>
      <c r="J31" s="14">
        <f>IF(AND(MONTH(A31)=MONTH(TODAY()), YEAR(A31)=YEAR(TODAY())), "Yes", "")</f>
        <v/>
      </c>
      <c r="K31" s="23">
        <f>A31-TODAY()</f>
        <v/>
      </c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64">
      <c r="A32" s="28" t="n"/>
      <c r="B32" s="32" t="n"/>
      <c r="C32" s="29" t="n"/>
      <c r="D32" s="29" t="n"/>
      <c r="E32" s="29" t="n"/>
      <c r="F32" s="29" t="n"/>
      <c r="G32" s="29" t="n"/>
      <c r="H32" s="29">
        <f>IF(AND(MONTH(A32)=MONTH(TODAY()), YEAR(A32)=YEAR(TODAY())), "Yes", "")</f>
        <v/>
      </c>
      <c r="I32" s="29">
        <f>IF(AND(A32&gt;=TODAY(), A32&lt;=TODAY()+7), "Yes", "")</f>
        <v/>
      </c>
      <c r="J32" s="9">
        <f>IF(AND(MONTH(A32)=MONTH(TODAY()), YEAR(A32)=YEAR(TODAY())), "Yes", "")</f>
        <v/>
      </c>
      <c r="K32" s="21">
        <f>A32-TODAY()</f>
        <v/>
      </c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64">
      <c r="A33" s="30" t="n"/>
      <c r="B33" s="12" t="n"/>
      <c r="C33" s="31" t="n"/>
      <c r="D33" s="31" t="n"/>
      <c r="E33" s="31" t="n"/>
      <c r="F33" s="31" t="n"/>
      <c r="G33" s="31" t="n"/>
      <c r="H33" s="31">
        <f>IF(AND(MONTH(A33)=MONTH(TODAY()), YEAR(A33)=YEAR(TODAY())), "Yes", "")</f>
        <v/>
      </c>
      <c r="I33" s="31">
        <f>IF(AND(A33&gt;=TODAY(), A33&lt;=TODAY()+7), "Yes", "")</f>
        <v/>
      </c>
      <c r="J33" s="14">
        <f>IF(AND(MONTH(A33)=MONTH(TODAY()), YEAR(A33)=YEAR(TODAY())), "Yes", "")</f>
        <v/>
      </c>
      <c r="K33" s="23">
        <f>A33-TODAY()</f>
        <v/>
      </c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64">
      <c r="A34" s="28" t="n"/>
      <c r="B34" s="7" t="n"/>
      <c r="C34" s="29" t="n"/>
      <c r="D34" s="29" t="n"/>
      <c r="E34" s="29" t="n"/>
      <c r="F34" s="29" t="n"/>
      <c r="G34" s="29" t="n"/>
      <c r="H34" s="29">
        <f>IF(AND(MONTH(A34)=MONTH(TODAY()), YEAR(A34)=YEAR(TODAY())), "Yes", "")</f>
        <v/>
      </c>
      <c r="I34" s="29">
        <f>IF(AND(A34&gt;=TODAY(), A34&lt;=TODAY()+7), "Yes", "")</f>
        <v/>
      </c>
      <c r="J34" s="9">
        <f>IF(AND(MONTH(A34)=MONTH(TODAY()), YEAR(A34)=YEAR(TODAY())), "Yes", "")</f>
        <v/>
      </c>
      <c r="K34" s="21">
        <f>A34-TODAY()</f>
        <v/>
      </c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64">
      <c r="A35" s="30" t="n"/>
      <c r="B35" s="33" t="n"/>
      <c r="C35" s="31" t="n"/>
      <c r="D35" s="31" t="n"/>
      <c r="E35" s="31" t="n"/>
      <c r="F35" s="31" t="n"/>
      <c r="G35" s="31" t="n"/>
      <c r="H35" s="31">
        <f>IF(AND(MONTH(A35)=MONTH(TODAY()), YEAR(A35)=YEAR(TODAY())), "Yes", "")</f>
        <v/>
      </c>
      <c r="I35" s="31">
        <f>IF(AND(A35&gt;=TODAY(), A35&lt;=TODAY()+7), "Yes", "")</f>
        <v/>
      </c>
      <c r="J35" s="14">
        <f>IF(AND(MONTH(A35)=MONTH(TODAY()), YEAR(A35)=YEAR(TODAY())), "Yes", "")</f>
        <v/>
      </c>
      <c r="K35" s="23">
        <f>A35-TODAY()</f>
        <v/>
      </c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64">
      <c r="A36" s="28" t="n"/>
      <c r="B36" s="32" t="n"/>
      <c r="C36" s="29" t="n"/>
      <c r="D36" s="29" t="n"/>
      <c r="E36" s="29" t="n"/>
      <c r="F36" s="29" t="n"/>
      <c r="G36" s="29" t="n"/>
      <c r="H36" s="29">
        <f>IF(AND(MONTH(A36)=MONTH(TODAY()), YEAR(A36)=YEAR(TODAY())), "Yes", "")</f>
        <v/>
      </c>
      <c r="I36" s="29">
        <f>IF(AND(A36&gt;=TODAY(), A36&lt;=TODAY()+7), "Yes", "")</f>
        <v/>
      </c>
      <c r="J36" s="9">
        <f>IF(AND(MONTH(A36)=MONTH(TODAY()), YEAR(A36)=YEAR(TODAY())), "Yes", "")</f>
        <v/>
      </c>
      <c r="K36" s="21">
        <f>A36-TODAY()</f>
        <v/>
      </c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64">
      <c r="A37" s="30" t="n"/>
      <c r="B37" s="33" t="n"/>
      <c r="C37" s="31" t="n"/>
      <c r="D37" s="31" t="n"/>
      <c r="E37" s="31" t="n"/>
      <c r="F37" s="31" t="n"/>
      <c r="G37" s="31" t="n"/>
      <c r="H37" s="31">
        <f>IF(AND(MONTH(A37)=MONTH(TODAY()), YEAR(A37)=YEAR(TODAY())), "Yes", "")</f>
        <v/>
      </c>
      <c r="I37" s="31">
        <f>IF(AND(A37&gt;=TODAY(), A37&lt;=TODAY()+7), "Yes", "")</f>
        <v/>
      </c>
      <c r="J37" s="14">
        <f>IF(AND(MONTH(A37)=MONTH(TODAY()), YEAR(A37)=YEAR(TODAY())), "Yes", "")</f>
        <v/>
      </c>
      <c r="K37" s="23">
        <f>A37-TODAY()</f>
        <v/>
      </c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64">
      <c r="A38" s="28" t="n"/>
      <c r="B38" s="32" t="n"/>
      <c r="C38" s="29" t="n"/>
      <c r="D38" s="29" t="n"/>
      <c r="E38" s="29" t="n"/>
      <c r="F38" s="29" t="n"/>
      <c r="G38" s="29" t="n"/>
      <c r="H38" s="29">
        <f>IF(AND(MONTH(A38)=MONTH(TODAY()), YEAR(A38)=YEAR(TODAY())), "Yes", "")</f>
        <v/>
      </c>
      <c r="I38" s="29">
        <f>IF(AND(A38&gt;=TODAY(), A38&lt;=TODAY()+7), "Yes", "")</f>
        <v/>
      </c>
      <c r="J38" s="9">
        <f>IF(AND(MONTH(A38)=MONTH(TODAY()), YEAR(A38)=YEAR(TODAY())), "Yes", "")</f>
        <v/>
      </c>
      <c r="K38" s="21">
        <f>A38-TODAY()</f>
        <v/>
      </c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64">
      <c r="A39" s="34" t="n"/>
      <c r="B39" s="35" t="n"/>
      <c r="C39" s="37" t="n"/>
      <c r="D39" s="37" t="n"/>
      <c r="E39" s="37" t="n"/>
      <c r="F39" s="37" t="n"/>
      <c r="G39" s="37" t="n"/>
      <c r="H39" s="37">
        <f>IF(AND(MONTH(A39)=MONTH(TODAY()), YEAR(A39)=YEAR(TODAY())), "Yes", "")</f>
        <v/>
      </c>
      <c r="I39" s="37">
        <f>IF(AND(A39&gt;=TODAY(), A39&lt;=TODAY()+7), "Yes", "")</f>
        <v/>
      </c>
      <c r="J39" s="38">
        <f>IF(AND(MONTH(A39)=MONTH(TODAY()), YEAR(A39)=YEAR(TODAY())), "Yes", "")</f>
        <v/>
      </c>
      <c r="K39" s="39">
        <f>A39-TODAY()</f>
        <v/>
      </c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9900"/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.29" customWidth="1" style="64" min="1" max="1"/>
    <col width="14.14" customWidth="1" style="64" min="2" max="2"/>
    <col width="13.71" customWidth="1" style="64" min="3" max="3"/>
    <col width="8.710000000000001" customWidth="1" style="64" min="4" max="6"/>
  </cols>
  <sheetData>
    <row r="1">
      <c r="A1" s="40" t="inlineStr">
        <is>
          <t>Date</t>
        </is>
      </c>
      <c r="B1" s="41" t="inlineStr">
        <is>
          <t>Source</t>
        </is>
      </c>
      <c r="C1" s="42" t="inlineStr">
        <is>
          <t>Amount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43" t="inlineStr">
        <is>
          <t>2025-09-22</t>
        </is>
      </c>
      <c r="B2" s="44" t="inlineStr">
        <is>
          <t>Reserve</t>
        </is>
      </c>
      <c r="C2" s="45" t="n">
        <v>700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46" t="inlineStr">
        <is>
          <t>2025-09-26</t>
        </is>
      </c>
      <c r="B3" s="47" t="inlineStr">
        <is>
          <t>Paycheck</t>
        </is>
      </c>
      <c r="C3" s="48" t="n">
        <v>3800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43" t="inlineStr">
        <is>
          <t>2025-10-10</t>
        </is>
      </c>
      <c r="B4" s="44" t="inlineStr">
        <is>
          <t>Paycheck</t>
        </is>
      </c>
      <c r="C4" s="45" t="n">
        <v>3800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49" t="n">
        <v>45954</v>
      </c>
      <c r="B5" s="50" t="inlineStr">
        <is>
          <t>Paycheck</t>
        </is>
      </c>
      <c r="C5" s="51" t="n">
        <v>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FF00FF"/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.29" customWidth="1" style="64" min="1" max="1"/>
    <col width="13.71" customWidth="1" style="64" min="2" max="2"/>
    <col width="8.710000000000001" customWidth="1" style="64" min="3" max="6"/>
  </cols>
  <sheetData>
    <row r="1">
      <c r="A1" s="65" t="inlineStr">
        <is>
          <t>Budget Dashboard</t>
        </is>
      </c>
      <c r="B1" s="66" t="n"/>
      <c r="C1" s="66" t="n"/>
      <c r="D1" s="67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56" t="inlineStr">
        <is>
          <t>Total Income</t>
        </is>
      </c>
      <c r="B2" s="57">
        <f>SUM(Income!C2:C100)</f>
        <v/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8" t="inlineStr">
        <is>
          <t>Total Due This Week</t>
        </is>
      </c>
      <c r="B3" s="59">
        <f>SUMIFS('Budget Tracker'!C:C, 'Budget Tracker'!I:I, "Yes")</f>
        <v/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60" t="inlineStr">
        <is>
          <t>Total Due This Month</t>
        </is>
      </c>
      <c r="B4" s="61">
        <f>SUMIFS('Budget Tracker'!C:C, 'Budget Tracker'!J:J, "Yes")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2" t="inlineStr">
        <is>
          <t>Total Overdue</t>
        </is>
      </c>
      <c r="B5" s="63">
        <f>SUMIFS('Budget Tracker'!C:C, 'Budget Tracker'!K:K, "&lt;0", 'Budget Tracker'!F:F, "Upcoming")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62" t="inlineStr">
        <is>
          <t>Total Paid</t>
        </is>
      </c>
      <c r="B6" s="63">
        <f>SUMIFS('Budget Tracker'!C:C, 'Budget Tracker'!G:G, "yes")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1">
    <mergeCell ref="A1:D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2025-10-09T23:36:29Z</dcterms:created>
  <dcterms:modified xmlns:dcterms="http://purl.org/dc/terms/" xmlns:xsi="http://www.w3.org/2001/XMLSchema-instance" xsi:type="dcterms:W3CDTF">2025-10-09T23:36:29Z</dcterms:modified>
</cp:coreProperties>
</file>